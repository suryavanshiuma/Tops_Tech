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MA SURYAVANSHI\Desktop\Tops_Tech\Assesments\Excel\"/>
    </mc:Choice>
  </mc:AlternateContent>
  <xr:revisionPtr revIDLastSave="0" documentId="13_ncr:1_{E7FA5876-810A-4409-AD8A-7A1EFDA2A359}" xr6:coauthVersionLast="47" xr6:coauthVersionMax="47" xr10:uidLastSave="{00000000-0000-0000-0000-000000000000}"/>
  <bookViews>
    <workbookView xWindow="-110" yWindow="-110" windowWidth="19420" windowHeight="10300" xr2:uid="{00000000-000D-0000-FFFF-FFFF00000000}"/>
  </bookViews>
  <sheets>
    <sheet name="Pivot_slicer" sheetId="3" r:id="rId1"/>
    <sheet name="Expenses (2)" sheetId="2" r:id="rId2"/>
    <sheet name="Raw_Data_Expenses" sheetId="1" r:id="rId3"/>
  </sheets>
  <definedNames>
    <definedName name="ExternalData_1" localSheetId="1" hidden="1">'Expenses (2)'!$A$2:$I$49</definedName>
    <definedName name="Slicer_Account_Cod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CEE35F-4324-4986-81DD-EB69BDB1FBC3}" keepAlive="1" name="Query - Expenses" description="Connection to the 'Expenses' query in the workbook." type="5" refreshedVersion="8" background="1" saveData="1">
    <dbPr connection="Provider=Microsoft.Mashup.OleDb.1;Data Source=$Workbook$;Location=Expenses;Extended Properties=&quot;&quot;" command="SELECT * FROM [Expenses]"/>
  </connection>
  <connection id="2" xr16:uid="{7C4033F3-4715-4A46-BA26-1F3CE3CF1465}" keepAlive="1" name="Query - Expenses (2)" description="Connection to the 'Expenses (2)' query in the workbook." type="5" refreshedVersion="8" background="1">
    <dbPr connection="Provider=Microsoft.Mashup.OleDb.1;Data Source=$Workbook$;Location=&quot;Expenses (2)&quot;;Extended Properties=&quot;&quot;" command="SELECT * FROM [Expenses (2)]"/>
  </connection>
</connections>
</file>

<file path=xl/sharedStrings.xml><?xml version="1.0" encoding="utf-8"?>
<sst xmlns="http://schemas.openxmlformats.org/spreadsheetml/2006/main" count="660" uniqueCount="106">
  <si>
    <t>Document Date</t>
  </si>
  <si>
    <t>Supplier</t>
  </si>
  <si>
    <t>Reference</t>
  </si>
  <si>
    <t>Description</t>
  </si>
  <si>
    <t>Tax Inclusive Amount</t>
  </si>
  <si>
    <t>Bank Code</t>
  </si>
  <si>
    <t>Account Code</t>
  </si>
  <si>
    <t>Payment Date</t>
  </si>
  <si>
    <t>2/14/2011</t>
  </si>
  <si>
    <t>XY Solutions</t>
  </si>
  <si>
    <t>S77782</t>
  </si>
  <si>
    <t>Opening Balance</t>
  </si>
  <si>
    <t>A</t>
  </si>
  <si>
    <t>B1</t>
  </si>
  <si>
    <t>BS-500</t>
  </si>
  <si>
    <t>IS Communications</t>
  </si>
  <si>
    <t>Invoice EXP22</t>
  </si>
  <si>
    <t>Internet Service Provider</t>
  </si>
  <si>
    <t>IS-380</t>
  </si>
  <si>
    <t>3/31/2011</t>
  </si>
  <si>
    <t>Newscorp</t>
  </si>
  <si>
    <t>I381119</t>
  </si>
  <si>
    <t>Subscriptions</t>
  </si>
  <si>
    <t>IS-375</t>
  </si>
  <si>
    <t>EAG Brokers</t>
  </si>
  <si>
    <t>Debit Order</t>
  </si>
  <si>
    <t>Insurance</t>
  </si>
  <si>
    <t>IS-340</t>
  </si>
  <si>
    <t>3/15/2011</t>
  </si>
  <si>
    <t>Capital Bank</t>
  </si>
  <si>
    <t>Bank Statement</t>
  </si>
  <si>
    <t>Service Fees</t>
  </si>
  <si>
    <t>IS-315</t>
  </si>
  <si>
    <t>B2</t>
  </si>
  <si>
    <t>IAS Accountants</t>
  </si>
  <si>
    <t>Invoice</t>
  </si>
  <si>
    <t>Bookkeeping</t>
  </si>
  <si>
    <t>IS-305</t>
  </si>
  <si>
    <t>Interflora</t>
  </si>
  <si>
    <t>Cash</t>
  </si>
  <si>
    <t>Flowers</t>
  </si>
  <si>
    <t>PC</t>
  </si>
  <si>
    <t>IS-345</t>
  </si>
  <si>
    <t>3/18/2011</t>
  </si>
  <si>
    <t>QQ International</t>
  </si>
  <si>
    <t>TR6998</t>
  </si>
  <si>
    <t>Parking</t>
  </si>
  <si>
    <t>IS-390</t>
  </si>
  <si>
    <t>3/20/2011</t>
  </si>
  <si>
    <t>Example (Pty) Ltd</t>
  </si>
  <si>
    <t>Transfer</t>
  </si>
  <si>
    <t>Inter Account Transfer</t>
  </si>
  <si>
    <t>E</t>
  </si>
  <si>
    <t>BS-399</t>
  </si>
  <si>
    <t>3/26/2011</t>
  </si>
  <si>
    <t>Payroll</t>
  </si>
  <si>
    <t>Salaries</t>
  </si>
  <si>
    <t>IS-365</t>
  </si>
  <si>
    <t>HP Finance</t>
  </si>
  <si>
    <t>Capital repayment</t>
  </si>
  <si>
    <t>BS-700</t>
  </si>
  <si>
    <t>Interest paid</t>
  </si>
  <si>
    <t>IS-500</t>
  </si>
  <si>
    <t>PR Properties</t>
  </si>
  <si>
    <t>Rent</t>
  </si>
  <si>
    <t>IS-350</t>
  </si>
  <si>
    <t>Petty Cash Reimbursement</t>
  </si>
  <si>
    <t>Invoice EXP23</t>
  </si>
  <si>
    <t>4/15/2011</t>
  </si>
  <si>
    <t>4/20/2011</t>
  </si>
  <si>
    <t>4/25/2011</t>
  </si>
  <si>
    <t>Inland Revenue</t>
  </si>
  <si>
    <t>Return</t>
  </si>
  <si>
    <t>Sales Tax</t>
  </si>
  <si>
    <t>BS-600</t>
  </si>
  <si>
    <t>4/26/2011</t>
  </si>
  <si>
    <t>Furniture City</t>
  </si>
  <si>
    <t>Furniture</t>
  </si>
  <si>
    <t>BS-100</t>
  </si>
  <si>
    <t>5/26/2011</t>
  </si>
  <si>
    <t>4/29/2011</t>
  </si>
  <si>
    <t>GF Supplies</t>
  </si>
  <si>
    <t>IN1179</t>
  </si>
  <si>
    <t>Consumables</t>
  </si>
  <si>
    <t>IS-325</t>
  </si>
  <si>
    <t>5/29/2011</t>
  </si>
  <si>
    <t>4/30/2011</t>
  </si>
  <si>
    <t>Invoice EXP24</t>
  </si>
  <si>
    <t>5/31/2011</t>
  </si>
  <si>
    <t>Training Inc</t>
  </si>
  <si>
    <t>Course</t>
  </si>
  <si>
    <t>IS-385</t>
  </si>
  <si>
    <t>City Lodge</t>
  </si>
  <si>
    <t>S50037</t>
  </si>
  <si>
    <t>Accommodation</t>
  </si>
  <si>
    <t>Waltons</t>
  </si>
  <si>
    <t>Stationery</t>
  </si>
  <si>
    <t>IS-370</t>
  </si>
  <si>
    <t>5/15/2011</t>
  </si>
  <si>
    <t>5/20/2011</t>
  </si>
  <si>
    <t>Example Limited Expenses</t>
  </si>
  <si>
    <t>Tax Code</t>
  </si>
  <si>
    <t>EXAMPLE LIMITED EXPENSES</t>
  </si>
  <si>
    <t>Row Labels</t>
  </si>
  <si>
    <t>Grand Total</t>
  </si>
  <si>
    <t>Sum of Tax Inclusive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</si>
</sst>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4" fontId="1" fillId="0" borderId="0" xfId="0" applyNumberFormat="1" applyFont="1"/>
    <xf numFmtId="164" fontId="1" fillId="0" borderId="0" xfId="0" applyNumberFormat="1" applyFont="1"/>
    <xf numFmtId="0" fontId="0" fillId="0" borderId="0" xfId="0" applyAlignment="1">
      <alignment wrapText="1"/>
    </xf>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8">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[Expenses_Example_Limited.xlsx]Pivot_slicer!PivotTable1</c:name>
    <c:fmtId val="0"/>
  </c:pivotSource>
  <c:chart>
    <c:title>
      <c:layout>
        <c:manualLayout>
          <c:xMode val="edge"/>
          <c:yMode val="edge"/>
          <c:x val="0.45615266841644797"/>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75694384355806E-2"/>
          <c:y val="0.13416623835858638"/>
          <c:w val="0.91058367704036991"/>
          <c:h val="0.45584835838078985"/>
        </c:manualLayout>
      </c:layout>
      <c:barChart>
        <c:barDir val="col"/>
        <c:grouping val="clustered"/>
        <c:varyColors val="0"/>
        <c:ser>
          <c:idx val="0"/>
          <c:order val="0"/>
          <c:tx>
            <c:strRef>
              <c:f>Pivot_slicer!$B$1</c:f>
              <c:strCache>
                <c:ptCount val="1"/>
                <c:pt idx="0">
                  <c:v>Total</c:v>
                </c:pt>
              </c:strCache>
            </c:strRef>
          </c:tx>
          <c:spPr>
            <a:solidFill>
              <a:schemeClr val="accent1"/>
            </a:solidFill>
            <a:ln>
              <a:noFill/>
            </a:ln>
            <a:effectLst/>
          </c:spPr>
          <c:invertIfNegative val="0"/>
          <c:cat>
            <c:strRef>
              <c:f>Pivot_slicer!$A$2:$A$5</c:f>
              <c:strCache>
                <c:ptCount val="3"/>
                <c:pt idx="0">
                  <c:v>City Lodge</c:v>
                </c:pt>
                <c:pt idx="1">
                  <c:v>Newscorp</c:v>
                </c:pt>
                <c:pt idx="2">
                  <c:v>QQ International</c:v>
                </c:pt>
              </c:strCache>
            </c:strRef>
          </c:cat>
          <c:val>
            <c:numRef>
              <c:f>Pivot_slicer!$B$2:$B$5</c:f>
              <c:numCache>
                <c:formatCode>General</c:formatCode>
                <c:ptCount val="3"/>
                <c:pt idx="0">
                  <c:v>563</c:v>
                </c:pt>
                <c:pt idx="1">
                  <c:v>478</c:v>
                </c:pt>
                <c:pt idx="2">
                  <c:v>200</c:v>
                </c:pt>
              </c:numCache>
            </c:numRef>
          </c:val>
          <c:extLst>
            <c:ext xmlns:c16="http://schemas.microsoft.com/office/drawing/2014/chart" uri="{C3380CC4-5D6E-409C-BE32-E72D297353CC}">
              <c16:uniqueId val="{00000000-EEA2-482C-B9BA-6836A5A1FF9E}"/>
            </c:ext>
          </c:extLst>
        </c:ser>
        <c:dLbls>
          <c:showLegendKey val="0"/>
          <c:showVal val="0"/>
          <c:showCatName val="0"/>
          <c:showSerName val="0"/>
          <c:showPercent val="0"/>
          <c:showBubbleSize val="0"/>
        </c:dLbls>
        <c:gapWidth val="219"/>
        <c:overlap val="-27"/>
        <c:axId val="604147360"/>
        <c:axId val="604133440"/>
      </c:barChart>
      <c:catAx>
        <c:axId val="60414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33440"/>
        <c:crosses val="autoZero"/>
        <c:auto val="1"/>
        <c:lblAlgn val="ctr"/>
        <c:lblOffset val="100"/>
        <c:noMultiLvlLbl val="0"/>
      </c:catAx>
      <c:valAx>
        <c:axId val="60413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47360"/>
        <c:crosses val="autoZero"/>
        <c:crossBetween val="between"/>
      </c:valAx>
      <c:spPr>
        <a:noFill/>
        <a:ln>
          <a:noFill/>
        </a:ln>
        <a:effectLst/>
      </c:spPr>
    </c:plotArea>
    <c:legend>
      <c:legendPos val="b"/>
      <c:layout>
        <c:manualLayout>
          <c:xMode val="edge"/>
          <c:yMode val="edge"/>
          <c:x val="0.78338516061126873"/>
          <c:y val="0.93355975411689729"/>
          <c:w val="0.19281772519551807"/>
          <c:h val="5.41644794400699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146050</xdr:colOff>
      <xdr:row>0</xdr:row>
      <xdr:rowOff>31750</xdr:rowOff>
    </xdr:from>
    <xdr:to>
      <xdr:col>8</xdr:col>
      <xdr:colOff>241300</xdr:colOff>
      <xdr:row>15</xdr:row>
      <xdr:rowOff>82550</xdr:rowOff>
    </xdr:to>
    <xdr:graphicFrame macro="">
      <xdr:nvGraphicFramePr>
        <xdr:cNvPr id="2" name="Chart 1">
          <a:extLst>
            <a:ext uri="{FF2B5EF4-FFF2-40B4-BE49-F238E27FC236}">
              <a16:creationId xmlns:a16="http://schemas.microsoft.com/office/drawing/2014/main" id="{A4F21F3B-81C5-A6DB-BD86-0D05C9F67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298450</xdr:colOff>
      <xdr:row>0</xdr:row>
      <xdr:rowOff>95250</xdr:rowOff>
    </xdr:from>
    <xdr:to>
      <xdr:col>11</xdr:col>
      <xdr:colOff>298450</xdr:colOff>
      <xdr:row>12</xdr:row>
      <xdr:rowOff>28572</xdr:rowOff>
    </xdr:to>
    <mc:AlternateContent xmlns:mc="http://schemas.openxmlformats.org/markup-compatibility/2006" xmlns:a14="http://schemas.microsoft.com/office/drawing/2010/main">
      <mc:Choice Requires="a14">
        <xdr:graphicFrame macro="">
          <xdr:nvGraphicFramePr>
            <xdr:cNvPr id="3" name="Account Code">
              <a:extLst>
                <a:ext uri="{FF2B5EF4-FFF2-40B4-BE49-F238E27FC236}">
                  <a16:creationId xmlns:a16="http://schemas.microsoft.com/office/drawing/2014/main" id="{E9D7D094-1768-6F3A-DF76-73D65C2DD3DB}"/>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6775450" y="95250"/>
              <a:ext cx="1828800" cy="1838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SURYAVANSHI" refreshedDate="46097.555205787037" backgroundQuery="1" createdVersion="8" refreshedVersion="8" minRefreshableVersion="3" recordCount="47" xr:uid="{2C17BCF8-3CBE-4A84-9C28-4491E33EBE64}">
  <cacheSource type="external" connectionId="2"/>
  <cacheFields count="13">
    <cacheField name="Document Date" numFmtId="0">
      <sharedItems containsSemiMixedTypes="0" containsNonDate="0" containsDate="1" containsString="0" minDate="2011-01-03T00:00:00" maxDate="2011-12-05T00:00:00" count="24">
        <d v="2011-02-14T00:00:00"/>
        <d v="2011-01-03T00:00:00"/>
        <d v="2011-02-03T00:00:00"/>
        <d v="2011-05-03T00:00:00"/>
        <d v="2011-03-15T00:00:00"/>
        <d v="2011-03-18T00:00:00"/>
        <d v="2011-03-20T00:00:00"/>
        <d v="2011-03-26T00:00:00"/>
        <d v="2011-03-31T00:00:00"/>
        <d v="2011-01-04T00:00:00"/>
        <d v="2011-05-04T00:00:00"/>
        <d v="2011-12-04T00:00:00"/>
        <d v="2011-04-15T00:00:00"/>
        <d v="2011-04-20T00:00:00"/>
        <d v="2011-04-25T00:00:00"/>
        <d v="2011-04-26T00:00:00"/>
        <d v="2011-04-29T00:00:00"/>
        <d v="2011-04-30T00:00:00"/>
        <d v="2011-01-05T00:00:00"/>
        <d v="2011-05-05T00:00:00"/>
        <d v="2011-07-05T00:00:00"/>
        <d v="2011-05-15T00:00:00"/>
        <d v="2011-05-20T00:00:00"/>
        <d v="2011-05-26T00:00:00"/>
      </sharedItems>
      <fieldGroup par="12"/>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ount="15">
        <s v="S77782"/>
        <s v="Invoice EXP22"/>
        <s v="I381119"/>
        <s v="Debit Order"/>
        <s v="Bank Statement"/>
        <s v="Invoice"/>
        <s v="Cash"/>
        <s v="TR6998"/>
        <s v="Transfer"/>
        <s v="Payroll"/>
        <s v="Invoice EXP23"/>
        <s v="Return"/>
        <s v="IN1179"/>
        <s v="Invoice EXP24"/>
        <s v="S50037"/>
      </sharedItems>
    </cacheField>
    <cacheField name="Description" numFmtId="0">
      <sharedItems count="20">
        <s v="Opening Balance"/>
        <s v="Internet Service Provider"/>
        <s v="Subscriptions"/>
        <s v="Insurance"/>
        <s v="Service Fees"/>
        <s v="Bookkeeping"/>
        <s v="Flowers"/>
        <s v="Parking"/>
        <s v="Inter Account Transfer"/>
        <s v="Salaries"/>
        <s v="Capital repayment"/>
        <s v="Interest paid"/>
        <s v="Rent"/>
        <s v="Petty Cash Reimbursement"/>
        <s v="Sales Tax"/>
        <s v="Furniture"/>
        <s v="Consumables"/>
        <s v="Course"/>
        <s v="Accommodation"/>
        <s v="Stationery"/>
      </sharedItems>
    </cacheField>
    <cacheField name="Tax Inclusive Amount" numFmtId="0">
      <sharedItems containsSemiMixedTypes="0" containsString="0" containsNumber="1" containsInteger="1" minValue="-20000" maxValue="20000" count="25">
        <n v="5100"/>
        <n v="179"/>
        <n v="478"/>
        <n v="340"/>
        <n v="50"/>
        <n v="35"/>
        <n v="1000"/>
        <n v="90"/>
        <n v="200"/>
        <n v="-15000"/>
        <n v="15000"/>
        <n v="13000"/>
        <n v="220"/>
        <n v="100"/>
        <n v="6400"/>
        <n v="-100"/>
        <n v="87"/>
        <n v="80"/>
        <n v="-20000"/>
        <n v="20000"/>
        <n v="1300"/>
        <n v="3000"/>
        <n v="41"/>
        <n v="563"/>
        <n v="982"/>
      </sharedItems>
    </cacheField>
    <cacheField name="Tax Code" numFmtId="0">
      <sharedItems count="2">
        <s v="A"/>
        <s v="E"/>
      </sharedItems>
    </cacheField>
    <cacheField name="Bank Code" numFmtId="0">
      <sharedItems count="3">
        <s v="B1"/>
        <s v="B2"/>
        <s v="PC"/>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ontainsSemiMixedTypes="0" containsNonDate="0" containsDate="1" containsString="0" minDate="2011-01-04T00:00:00" maxDate="2011-12-05T00:00:00" count="27">
        <d v="2011-02-03T00:00:00"/>
        <d v="2011-03-31T00:00:00"/>
        <d v="2011-01-04T00:00:00"/>
        <d v="2011-05-03T00:00:00"/>
        <d v="2011-03-15T00:00:00"/>
        <d v="2011-02-04T00:00:00"/>
        <d v="2011-03-18T00:00:00"/>
        <d v="2011-03-20T00:00:00"/>
        <d v="2011-03-26T00:00:00"/>
        <d v="2011-01-05T00:00:00"/>
        <d v="2011-05-04T00:00:00"/>
        <d v="2011-12-04T00:00:00"/>
        <d v="2011-04-15T00:00:00"/>
        <d v="2011-03-05T00:00:00"/>
        <d v="2011-04-20T00:00:00"/>
        <d v="2011-04-25T00:00:00"/>
        <d v="2011-04-26T00:00:00"/>
        <d v="2011-05-26T00:00:00"/>
        <d v="2011-05-29T00:00:00"/>
        <d v="2011-04-30T00:00:00"/>
        <d v="2011-05-31T00:00:00"/>
        <d v="2011-05-05T00:00:00"/>
        <d v="2011-07-05T00:00:00"/>
        <d v="2011-06-06T00:00:00"/>
        <d v="2011-05-15T00:00:00"/>
        <d v="2011-02-06T00:00:00"/>
        <d v="2011-05-20T00:00:00"/>
      </sharedItems>
      <fieldGroup par="10"/>
    </cacheField>
    <cacheField name="Days (Payment Date)" numFmtId="0" databaseField="0">
      <fieldGroup base="8">
        <rangePr groupBy="days" startDate="2011-01-04T00:00:00" endDate="2011-12-05T00:00:00"/>
        <groupItems count="368">
          <s v="&lt;04-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2-2011"/>
        </groupItems>
      </fieldGroup>
    </cacheField>
    <cacheField name="Months (Payment Date)" numFmtId="0" databaseField="0">
      <fieldGroup base="8">
        <rangePr groupBy="months" startDate="2011-01-04T00:00:00" endDate="2011-12-05T00:00:00"/>
        <groupItems count="14">
          <s v="&lt;04-01-2011"/>
          <s v="Jan"/>
          <s v="Feb"/>
          <s v="Mar"/>
          <s v="Apr"/>
          <s v="May"/>
          <s v="Jun"/>
          <s v="Jul"/>
          <s v="Aug"/>
          <s v="Sep"/>
          <s v="Oct"/>
          <s v="Nov"/>
          <s v="Dec"/>
          <s v="&gt;05-12-2011"/>
        </groupItems>
      </fieldGroup>
    </cacheField>
    <cacheField name="Days (Document Date)" numFmtId="0" databaseField="0">
      <fieldGroup base="0">
        <rangePr groupBy="days" startDate="2011-01-03T00:00:00" endDate="2011-12-05T00:00:00"/>
        <groupItems count="368">
          <s v="&lt;03-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2-2011"/>
        </groupItems>
      </fieldGroup>
    </cacheField>
    <cacheField name="Months (Document Date)" numFmtId="0" databaseField="0">
      <fieldGroup base="0">
        <rangePr groupBy="months" startDate="2011-01-03T00:00:00" endDate="2011-12-05T00:00:00"/>
        <groupItems count="14">
          <s v="&lt;03-01-2011"/>
          <s v="Jan"/>
          <s v="Feb"/>
          <s v="Mar"/>
          <s v="Apr"/>
          <s v="May"/>
          <s v="Jun"/>
          <s v="Jul"/>
          <s v="Aug"/>
          <s v="Sep"/>
          <s v="Oct"/>
          <s v="Nov"/>
          <s v="Dec"/>
          <s v="&gt;05-12-2011"/>
        </groupItems>
      </fieldGroup>
    </cacheField>
  </cacheFields>
  <extLst>
    <ext xmlns:x14="http://schemas.microsoft.com/office/spreadsheetml/2009/9/main" uri="{725AE2AE-9491-48be-B2B4-4EB974FC3084}">
      <x14:pivotCacheDefinition pivotCacheId="1930456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x v="0"/>
    <x v="0"/>
    <x v="0"/>
    <x v="0"/>
    <x v="0"/>
    <x v="0"/>
  </r>
  <r>
    <x v="1"/>
    <x v="1"/>
    <x v="1"/>
    <x v="1"/>
    <x v="1"/>
    <x v="0"/>
    <x v="0"/>
    <x v="1"/>
    <x v="1"/>
  </r>
  <r>
    <x v="2"/>
    <x v="2"/>
    <x v="2"/>
    <x v="2"/>
    <x v="2"/>
    <x v="0"/>
    <x v="0"/>
    <x v="2"/>
    <x v="2"/>
  </r>
  <r>
    <x v="3"/>
    <x v="3"/>
    <x v="3"/>
    <x v="3"/>
    <x v="3"/>
    <x v="0"/>
    <x v="0"/>
    <x v="3"/>
    <x v="3"/>
  </r>
  <r>
    <x v="4"/>
    <x v="4"/>
    <x v="4"/>
    <x v="4"/>
    <x v="4"/>
    <x v="0"/>
    <x v="0"/>
    <x v="4"/>
    <x v="4"/>
  </r>
  <r>
    <x v="4"/>
    <x v="4"/>
    <x v="4"/>
    <x v="4"/>
    <x v="5"/>
    <x v="0"/>
    <x v="1"/>
    <x v="4"/>
    <x v="4"/>
  </r>
  <r>
    <x v="4"/>
    <x v="5"/>
    <x v="5"/>
    <x v="5"/>
    <x v="6"/>
    <x v="0"/>
    <x v="0"/>
    <x v="5"/>
    <x v="5"/>
  </r>
  <r>
    <x v="4"/>
    <x v="6"/>
    <x v="6"/>
    <x v="6"/>
    <x v="7"/>
    <x v="0"/>
    <x v="2"/>
    <x v="6"/>
    <x v="4"/>
  </r>
  <r>
    <x v="5"/>
    <x v="7"/>
    <x v="7"/>
    <x v="7"/>
    <x v="8"/>
    <x v="0"/>
    <x v="0"/>
    <x v="7"/>
    <x v="6"/>
  </r>
  <r>
    <x v="6"/>
    <x v="8"/>
    <x v="8"/>
    <x v="8"/>
    <x v="9"/>
    <x v="1"/>
    <x v="1"/>
    <x v="8"/>
    <x v="7"/>
  </r>
  <r>
    <x v="6"/>
    <x v="8"/>
    <x v="8"/>
    <x v="8"/>
    <x v="10"/>
    <x v="1"/>
    <x v="0"/>
    <x v="8"/>
    <x v="7"/>
  </r>
  <r>
    <x v="7"/>
    <x v="8"/>
    <x v="9"/>
    <x v="9"/>
    <x v="11"/>
    <x v="1"/>
    <x v="1"/>
    <x v="9"/>
    <x v="8"/>
  </r>
  <r>
    <x v="7"/>
    <x v="9"/>
    <x v="3"/>
    <x v="10"/>
    <x v="12"/>
    <x v="1"/>
    <x v="0"/>
    <x v="10"/>
    <x v="8"/>
  </r>
  <r>
    <x v="7"/>
    <x v="9"/>
    <x v="3"/>
    <x v="11"/>
    <x v="13"/>
    <x v="1"/>
    <x v="0"/>
    <x v="11"/>
    <x v="8"/>
  </r>
  <r>
    <x v="7"/>
    <x v="10"/>
    <x v="3"/>
    <x v="12"/>
    <x v="14"/>
    <x v="0"/>
    <x v="0"/>
    <x v="12"/>
    <x v="8"/>
  </r>
  <r>
    <x v="8"/>
    <x v="8"/>
    <x v="4"/>
    <x v="13"/>
    <x v="13"/>
    <x v="1"/>
    <x v="0"/>
    <x v="8"/>
    <x v="1"/>
  </r>
  <r>
    <x v="8"/>
    <x v="8"/>
    <x v="4"/>
    <x v="13"/>
    <x v="15"/>
    <x v="1"/>
    <x v="2"/>
    <x v="8"/>
    <x v="1"/>
  </r>
  <r>
    <x v="9"/>
    <x v="1"/>
    <x v="10"/>
    <x v="1"/>
    <x v="1"/>
    <x v="0"/>
    <x v="0"/>
    <x v="1"/>
    <x v="9"/>
  </r>
  <r>
    <x v="10"/>
    <x v="3"/>
    <x v="3"/>
    <x v="3"/>
    <x v="3"/>
    <x v="0"/>
    <x v="0"/>
    <x v="3"/>
    <x v="10"/>
  </r>
  <r>
    <x v="11"/>
    <x v="6"/>
    <x v="6"/>
    <x v="6"/>
    <x v="16"/>
    <x v="0"/>
    <x v="2"/>
    <x v="6"/>
    <x v="11"/>
  </r>
  <r>
    <x v="12"/>
    <x v="4"/>
    <x v="4"/>
    <x v="4"/>
    <x v="17"/>
    <x v="0"/>
    <x v="0"/>
    <x v="4"/>
    <x v="12"/>
  </r>
  <r>
    <x v="12"/>
    <x v="4"/>
    <x v="4"/>
    <x v="4"/>
    <x v="5"/>
    <x v="0"/>
    <x v="1"/>
    <x v="4"/>
    <x v="12"/>
  </r>
  <r>
    <x v="12"/>
    <x v="5"/>
    <x v="5"/>
    <x v="5"/>
    <x v="6"/>
    <x v="0"/>
    <x v="0"/>
    <x v="5"/>
    <x v="13"/>
  </r>
  <r>
    <x v="13"/>
    <x v="8"/>
    <x v="8"/>
    <x v="8"/>
    <x v="18"/>
    <x v="1"/>
    <x v="1"/>
    <x v="8"/>
    <x v="14"/>
  </r>
  <r>
    <x v="13"/>
    <x v="8"/>
    <x v="8"/>
    <x v="8"/>
    <x v="19"/>
    <x v="1"/>
    <x v="0"/>
    <x v="8"/>
    <x v="14"/>
  </r>
  <r>
    <x v="14"/>
    <x v="11"/>
    <x v="11"/>
    <x v="14"/>
    <x v="20"/>
    <x v="1"/>
    <x v="0"/>
    <x v="13"/>
    <x v="15"/>
  </r>
  <r>
    <x v="15"/>
    <x v="8"/>
    <x v="9"/>
    <x v="9"/>
    <x v="19"/>
    <x v="1"/>
    <x v="1"/>
    <x v="9"/>
    <x v="16"/>
  </r>
  <r>
    <x v="15"/>
    <x v="12"/>
    <x v="5"/>
    <x v="15"/>
    <x v="21"/>
    <x v="0"/>
    <x v="0"/>
    <x v="14"/>
    <x v="17"/>
  </r>
  <r>
    <x v="15"/>
    <x v="9"/>
    <x v="3"/>
    <x v="10"/>
    <x v="12"/>
    <x v="1"/>
    <x v="0"/>
    <x v="10"/>
    <x v="16"/>
  </r>
  <r>
    <x v="15"/>
    <x v="9"/>
    <x v="3"/>
    <x v="11"/>
    <x v="13"/>
    <x v="1"/>
    <x v="0"/>
    <x v="11"/>
    <x v="16"/>
  </r>
  <r>
    <x v="15"/>
    <x v="10"/>
    <x v="3"/>
    <x v="12"/>
    <x v="14"/>
    <x v="0"/>
    <x v="0"/>
    <x v="12"/>
    <x v="16"/>
  </r>
  <r>
    <x v="16"/>
    <x v="13"/>
    <x v="12"/>
    <x v="16"/>
    <x v="22"/>
    <x v="0"/>
    <x v="2"/>
    <x v="15"/>
    <x v="18"/>
  </r>
  <r>
    <x v="17"/>
    <x v="8"/>
    <x v="4"/>
    <x v="13"/>
    <x v="13"/>
    <x v="1"/>
    <x v="0"/>
    <x v="8"/>
    <x v="19"/>
  </r>
  <r>
    <x v="17"/>
    <x v="8"/>
    <x v="4"/>
    <x v="13"/>
    <x v="15"/>
    <x v="1"/>
    <x v="2"/>
    <x v="8"/>
    <x v="19"/>
  </r>
  <r>
    <x v="18"/>
    <x v="1"/>
    <x v="13"/>
    <x v="1"/>
    <x v="1"/>
    <x v="0"/>
    <x v="0"/>
    <x v="1"/>
    <x v="20"/>
  </r>
  <r>
    <x v="18"/>
    <x v="14"/>
    <x v="5"/>
    <x v="17"/>
    <x v="12"/>
    <x v="0"/>
    <x v="0"/>
    <x v="16"/>
    <x v="20"/>
  </r>
  <r>
    <x v="19"/>
    <x v="3"/>
    <x v="3"/>
    <x v="3"/>
    <x v="3"/>
    <x v="0"/>
    <x v="0"/>
    <x v="3"/>
    <x v="21"/>
  </r>
  <r>
    <x v="20"/>
    <x v="15"/>
    <x v="14"/>
    <x v="18"/>
    <x v="23"/>
    <x v="0"/>
    <x v="0"/>
    <x v="7"/>
    <x v="22"/>
  </r>
  <r>
    <x v="20"/>
    <x v="16"/>
    <x v="5"/>
    <x v="19"/>
    <x v="24"/>
    <x v="0"/>
    <x v="0"/>
    <x v="17"/>
    <x v="23"/>
  </r>
  <r>
    <x v="21"/>
    <x v="4"/>
    <x v="4"/>
    <x v="4"/>
    <x v="17"/>
    <x v="0"/>
    <x v="0"/>
    <x v="4"/>
    <x v="24"/>
  </r>
  <r>
    <x v="21"/>
    <x v="4"/>
    <x v="4"/>
    <x v="4"/>
    <x v="5"/>
    <x v="0"/>
    <x v="1"/>
    <x v="4"/>
    <x v="24"/>
  </r>
  <r>
    <x v="21"/>
    <x v="5"/>
    <x v="5"/>
    <x v="5"/>
    <x v="6"/>
    <x v="0"/>
    <x v="0"/>
    <x v="5"/>
    <x v="25"/>
  </r>
  <r>
    <x v="22"/>
    <x v="8"/>
    <x v="8"/>
    <x v="8"/>
    <x v="18"/>
    <x v="1"/>
    <x v="1"/>
    <x v="8"/>
    <x v="26"/>
  </r>
  <r>
    <x v="22"/>
    <x v="8"/>
    <x v="8"/>
    <x v="8"/>
    <x v="19"/>
    <x v="1"/>
    <x v="0"/>
    <x v="8"/>
    <x v="26"/>
  </r>
  <r>
    <x v="23"/>
    <x v="8"/>
    <x v="9"/>
    <x v="9"/>
    <x v="19"/>
    <x v="1"/>
    <x v="1"/>
    <x v="9"/>
    <x v="17"/>
  </r>
  <r>
    <x v="23"/>
    <x v="9"/>
    <x v="3"/>
    <x v="10"/>
    <x v="12"/>
    <x v="1"/>
    <x v="0"/>
    <x v="10"/>
    <x v="17"/>
  </r>
  <r>
    <x v="23"/>
    <x v="9"/>
    <x v="3"/>
    <x v="11"/>
    <x v="13"/>
    <x v="1"/>
    <x v="0"/>
    <x v="11"/>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E5313-83E9-4001-A8ED-0EBEFCD950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1:B5" firstHeaderRow="1" firstDataRow="1" firstDataCol="1"/>
  <pivotFields count="13">
    <pivotField showAll="0">
      <items count="25">
        <item x="1"/>
        <item x="9"/>
        <item x="18"/>
        <item x="2"/>
        <item x="0"/>
        <item x="4"/>
        <item x="5"/>
        <item x="6"/>
        <item x="7"/>
        <item x="8"/>
        <item x="12"/>
        <item x="13"/>
        <item x="14"/>
        <item x="15"/>
        <item x="16"/>
        <item x="17"/>
        <item x="3"/>
        <item x="10"/>
        <item x="19"/>
        <item x="21"/>
        <item x="22"/>
        <item x="23"/>
        <item x="20"/>
        <item x="11"/>
        <item t="default"/>
      </items>
    </pivotField>
    <pivotField axis="axisRow" showAll="0">
      <items count="18">
        <item x="4"/>
        <item x="15"/>
        <item x="3"/>
        <item x="8"/>
        <item x="12"/>
        <item x="13"/>
        <item x="9"/>
        <item x="5"/>
        <item x="11"/>
        <item x="6"/>
        <item x="1"/>
        <item x="2"/>
        <item x="10"/>
        <item x="7"/>
        <item x="14"/>
        <item x="16"/>
        <item x="0"/>
        <item t="default"/>
      </items>
    </pivotField>
    <pivotField showAll="0">
      <items count="16">
        <item x="4"/>
        <item x="6"/>
        <item x="3"/>
        <item x="2"/>
        <item x="12"/>
        <item x="5"/>
        <item x="1"/>
        <item x="10"/>
        <item x="13"/>
        <item x="9"/>
        <item x="11"/>
        <item x="14"/>
        <item x="0"/>
        <item x="7"/>
        <item x="8"/>
        <item t="default"/>
      </items>
    </pivotField>
    <pivotField showAll="0"/>
    <pivotField dataField="1" showAll="0"/>
    <pivotField showAll="0"/>
    <pivotField showAll="0">
      <items count="4">
        <item x="0"/>
        <item x="1"/>
        <item x="2"/>
        <item t="default"/>
      </items>
    </pivotField>
    <pivotField showAll="0">
      <items count="19">
        <item h="1" x="14"/>
        <item h="1" x="8"/>
        <item h="1" x="0"/>
        <item h="1" x="13"/>
        <item h="1" x="10"/>
        <item h="1" x="5"/>
        <item h="1" x="4"/>
        <item h="1" x="15"/>
        <item h="1" x="3"/>
        <item h="1" x="6"/>
        <item h="1" x="12"/>
        <item h="1" x="9"/>
        <item h="1" x="17"/>
        <item x="2"/>
        <item h="1" x="1"/>
        <item h="1" x="16"/>
        <item x="7"/>
        <item h="1" x="11"/>
        <item t="default"/>
      </items>
    </pivotField>
    <pivotField showAll="0">
      <items count="28">
        <item x="2"/>
        <item x="9"/>
        <item x="0"/>
        <item x="5"/>
        <item x="25"/>
        <item x="13"/>
        <item x="4"/>
        <item x="6"/>
        <item x="7"/>
        <item x="8"/>
        <item x="1"/>
        <item x="12"/>
        <item x="14"/>
        <item x="15"/>
        <item x="16"/>
        <item x="19"/>
        <item x="3"/>
        <item x="10"/>
        <item x="21"/>
        <item x="24"/>
        <item x="26"/>
        <item x="17"/>
        <item x="18"/>
        <item x="20"/>
        <item x="23"/>
        <item x="22"/>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v="1"/>
    </i>
    <i>
      <x v="11"/>
    </i>
    <i>
      <x v="13"/>
    </i>
    <i t="grand">
      <x/>
    </i>
  </rowItems>
  <colItems count="1">
    <i/>
  </colItems>
  <dataFields count="1">
    <dataField name="Sum of Tax Inclusive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B5032D-D6C7-4700-819C-FEFBDB33D304}"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A290B5CF-C815-49CD-9CFF-1B7BE20F2E93}" sourceName="Account Code">
  <pivotTables>
    <pivotTable tabId="3" name="PivotTable1"/>
  </pivotTables>
  <data>
    <tabular pivotCacheId="1930456589">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AA80448B-183F-4559-9045-91B14F0E1BFF}" cache="Slicer_Account_Code" caption="Account Code" startItem="13"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EE2C2-C88B-42FD-9186-F92FA9C2B751}" name="Expenses" displayName="Expenses" ref="A2:I49" tableType="queryTable" totalsRowShown="0">
  <autoFilter ref="A2:I49" xr:uid="{D23EE2C2-C88B-42FD-9186-F92FA9C2B751}"/>
  <tableColumns count="9">
    <tableColumn id="1" xr3:uid="{710342FA-2318-454B-A146-BC2EAE25710F}" uniqueName="1" name="Document Date" queryTableFieldId="1" dataDxfId="7"/>
    <tableColumn id="2" xr3:uid="{125A9404-D399-4C53-93BA-A1CD530C6AD6}" uniqueName="2" name="Supplier" queryTableFieldId="2" dataDxfId="6"/>
    <tableColumn id="3" xr3:uid="{223EF399-CD59-400C-BE2C-FC00008F656B}" uniqueName="3" name="Reference" queryTableFieldId="3" dataDxfId="5"/>
    <tableColumn id="4" xr3:uid="{2DCA4919-D137-4FA4-A516-2626161627CE}" uniqueName="4" name="Description" queryTableFieldId="4" dataDxfId="4"/>
    <tableColumn id="5" xr3:uid="{76FAAF13-9B2C-4865-A977-C9037FCB6C19}" uniqueName="5" name="Tax Inclusive Amount" queryTableFieldId="5"/>
    <tableColumn id="6" xr3:uid="{78B30BD0-3B82-492D-8634-3DEA0FEF45E0}" uniqueName="6" name="Tax Code" queryTableFieldId="6" dataDxfId="3"/>
    <tableColumn id="7" xr3:uid="{15520154-1BAF-4D21-A2A9-C160C58DC483}" uniqueName="7" name="Bank Code" queryTableFieldId="7" dataDxfId="2"/>
    <tableColumn id="8" xr3:uid="{9110602E-4593-41DB-88ED-14F38B7C18F8}" uniqueName="8" name="Account Code" queryTableFieldId="8" dataDxfId="1"/>
    <tableColumn id="9" xr3:uid="{58B9085D-E0D0-450F-A629-F8E61C676A33}" uniqueName="9" name="Payment Date" queryTableFieldId="9"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0ACE-3959-4879-85DC-02D064684F3C}">
  <dimension ref="A1:B5"/>
  <sheetViews>
    <sheetView tabSelected="1" workbookViewId="0">
      <selection activeCell="N10" sqref="N10"/>
    </sheetView>
  </sheetViews>
  <sheetFormatPr defaultRowHeight="12.5" x14ac:dyDescent="0.25"/>
  <cols>
    <col min="1" max="1" width="14.08984375" bestFit="1" customWidth="1"/>
    <col min="2" max="2" width="26.26953125" bestFit="1" customWidth="1"/>
  </cols>
  <sheetData>
    <row r="1" spans="1:2" x14ac:dyDescent="0.25">
      <c r="A1" s="7" t="s">
        <v>103</v>
      </c>
      <c r="B1" t="s">
        <v>105</v>
      </c>
    </row>
    <row r="2" spans="1:2" x14ac:dyDescent="0.25">
      <c r="A2" s="8" t="s">
        <v>92</v>
      </c>
      <c r="B2">
        <v>563</v>
      </c>
    </row>
    <row r="3" spans="1:2" x14ac:dyDescent="0.25">
      <c r="A3" s="8" t="s">
        <v>20</v>
      </c>
      <c r="B3">
        <v>478</v>
      </c>
    </row>
    <row r="4" spans="1:2" x14ac:dyDescent="0.25">
      <c r="A4" s="8" t="s">
        <v>44</v>
      </c>
      <c r="B4">
        <v>200</v>
      </c>
    </row>
    <row r="5" spans="1:2" x14ac:dyDescent="0.25">
      <c r="A5" s="8" t="s">
        <v>104</v>
      </c>
      <c r="B5">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3320-8590-4CDD-8F7A-759BF7868C64}">
  <dimension ref="A1:I49"/>
  <sheetViews>
    <sheetView workbookViewId="0">
      <selection activeCell="J11" sqref="J11"/>
    </sheetView>
  </sheetViews>
  <sheetFormatPr defaultRowHeight="12.5" x14ac:dyDescent="0.25"/>
  <cols>
    <col min="1" max="1" width="16.36328125" bestFit="1" customWidth="1"/>
    <col min="2" max="2" width="16.1796875" bestFit="1" customWidth="1"/>
    <col min="3" max="3" width="13.6328125" bestFit="1" customWidth="1"/>
    <col min="4" max="4" width="22.90625" bestFit="1" customWidth="1"/>
    <col min="5" max="5" width="21.7265625" bestFit="1" customWidth="1"/>
    <col min="6" max="6" width="11.26953125" bestFit="1" customWidth="1"/>
    <col min="7" max="7" width="12.453125" bestFit="1" customWidth="1"/>
    <col min="8" max="8" width="15.26953125" bestFit="1" customWidth="1"/>
    <col min="9" max="9" width="15" bestFit="1" customWidth="1"/>
  </cols>
  <sheetData>
    <row r="1" spans="1:9" x14ac:dyDescent="0.25">
      <c r="A1" t="s">
        <v>102</v>
      </c>
    </row>
    <row r="2" spans="1:9" x14ac:dyDescent="0.25">
      <c r="A2" t="s">
        <v>0</v>
      </c>
      <c r="B2" t="s">
        <v>1</v>
      </c>
      <c r="C2" t="s">
        <v>2</v>
      </c>
      <c r="D2" t="s">
        <v>3</v>
      </c>
      <c r="E2" t="s">
        <v>4</v>
      </c>
      <c r="F2" t="s">
        <v>101</v>
      </c>
      <c r="G2" t="s">
        <v>5</v>
      </c>
      <c r="H2" t="s">
        <v>6</v>
      </c>
      <c r="I2" t="s">
        <v>7</v>
      </c>
    </row>
    <row r="3" spans="1:9" x14ac:dyDescent="0.25">
      <c r="A3" s="6">
        <v>40588</v>
      </c>
      <c r="B3" t="s">
        <v>9</v>
      </c>
      <c r="C3" t="s">
        <v>10</v>
      </c>
      <c r="D3" t="s">
        <v>11</v>
      </c>
      <c r="E3">
        <v>5100</v>
      </c>
      <c r="F3" t="s">
        <v>12</v>
      </c>
      <c r="G3" t="s">
        <v>13</v>
      </c>
      <c r="H3" t="s">
        <v>14</v>
      </c>
      <c r="I3" s="6">
        <v>40577</v>
      </c>
    </row>
    <row r="4" spans="1:9" x14ac:dyDescent="0.25">
      <c r="A4" s="6">
        <v>40546</v>
      </c>
      <c r="B4" t="s">
        <v>15</v>
      </c>
      <c r="C4" t="s">
        <v>16</v>
      </c>
      <c r="D4" t="s">
        <v>17</v>
      </c>
      <c r="E4">
        <v>179</v>
      </c>
      <c r="F4" t="s">
        <v>12</v>
      </c>
      <c r="G4" t="s">
        <v>13</v>
      </c>
      <c r="H4" t="s">
        <v>18</v>
      </c>
      <c r="I4" s="6">
        <v>40633</v>
      </c>
    </row>
    <row r="5" spans="1:9" x14ac:dyDescent="0.25">
      <c r="A5" s="6">
        <v>40577</v>
      </c>
      <c r="B5" t="s">
        <v>20</v>
      </c>
      <c r="C5" t="s">
        <v>21</v>
      </c>
      <c r="D5" t="s">
        <v>22</v>
      </c>
      <c r="E5">
        <v>478</v>
      </c>
      <c r="F5" t="s">
        <v>12</v>
      </c>
      <c r="G5" t="s">
        <v>13</v>
      </c>
      <c r="H5" t="s">
        <v>23</v>
      </c>
      <c r="I5" s="6">
        <v>40547</v>
      </c>
    </row>
    <row r="6" spans="1:9" x14ac:dyDescent="0.25">
      <c r="A6" s="6">
        <v>40666</v>
      </c>
      <c r="B6" t="s">
        <v>24</v>
      </c>
      <c r="C6" t="s">
        <v>25</v>
      </c>
      <c r="D6" t="s">
        <v>26</v>
      </c>
      <c r="E6">
        <v>340</v>
      </c>
      <c r="F6" t="s">
        <v>12</v>
      </c>
      <c r="G6" t="s">
        <v>13</v>
      </c>
      <c r="H6" t="s">
        <v>27</v>
      </c>
      <c r="I6" s="6">
        <v>40666</v>
      </c>
    </row>
    <row r="7" spans="1:9" x14ac:dyDescent="0.25">
      <c r="A7" s="6">
        <v>40617</v>
      </c>
      <c r="B7" t="s">
        <v>29</v>
      </c>
      <c r="C7" t="s">
        <v>30</v>
      </c>
      <c r="D7" t="s">
        <v>31</v>
      </c>
      <c r="E7">
        <v>50</v>
      </c>
      <c r="F7" t="s">
        <v>12</v>
      </c>
      <c r="G7" t="s">
        <v>13</v>
      </c>
      <c r="H7" t="s">
        <v>32</v>
      </c>
      <c r="I7" s="6">
        <v>40617</v>
      </c>
    </row>
    <row r="8" spans="1:9" x14ac:dyDescent="0.25">
      <c r="A8" s="6">
        <v>40617</v>
      </c>
      <c r="B8" t="s">
        <v>29</v>
      </c>
      <c r="C8" t="s">
        <v>30</v>
      </c>
      <c r="D8" t="s">
        <v>31</v>
      </c>
      <c r="E8">
        <v>35</v>
      </c>
      <c r="F8" t="s">
        <v>12</v>
      </c>
      <c r="G8" t="s">
        <v>33</v>
      </c>
      <c r="H8" t="s">
        <v>32</v>
      </c>
      <c r="I8" s="6">
        <v>40617</v>
      </c>
    </row>
    <row r="9" spans="1:9" x14ac:dyDescent="0.25">
      <c r="A9" s="6">
        <v>40617</v>
      </c>
      <c r="B9" t="s">
        <v>34</v>
      </c>
      <c r="C9" t="s">
        <v>35</v>
      </c>
      <c r="D9" t="s">
        <v>36</v>
      </c>
      <c r="E9">
        <v>1000</v>
      </c>
      <c r="F9" t="s">
        <v>12</v>
      </c>
      <c r="G9" t="s">
        <v>13</v>
      </c>
      <c r="H9" t="s">
        <v>37</v>
      </c>
      <c r="I9" s="6">
        <v>40578</v>
      </c>
    </row>
    <row r="10" spans="1:9" x14ac:dyDescent="0.25">
      <c r="A10" s="6">
        <v>40617</v>
      </c>
      <c r="B10" t="s">
        <v>38</v>
      </c>
      <c r="C10" t="s">
        <v>39</v>
      </c>
      <c r="D10" t="s">
        <v>40</v>
      </c>
      <c r="E10">
        <v>90</v>
      </c>
      <c r="F10" t="s">
        <v>12</v>
      </c>
      <c r="G10" t="s">
        <v>41</v>
      </c>
      <c r="H10" t="s">
        <v>42</v>
      </c>
      <c r="I10" s="6">
        <v>40617</v>
      </c>
    </row>
    <row r="11" spans="1:9" x14ac:dyDescent="0.25">
      <c r="A11" s="6">
        <v>40620</v>
      </c>
      <c r="B11" t="s">
        <v>44</v>
      </c>
      <c r="C11" t="s">
        <v>45</v>
      </c>
      <c r="D11" t="s">
        <v>46</v>
      </c>
      <c r="E11">
        <v>200</v>
      </c>
      <c r="F11" t="s">
        <v>12</v>
      </c>
      <c r="G11" t="s">
        <v>13</v>
      </c>
      <c r="H11" t="s">
        <v>47</v>
      </c>
      <c r="I11" s="6">
        <v>40620</v>
      </c>
    </row>
    <row r="12" spans="1:9" x14ac:dyDescent="0.25">
      <c r="A12" s="6">
        <v>40622</v>
      </c>
      <c r="B12" t="s">
        <v>49</v>
      </c>
      <c r="C12" t="s">
        <v>50</v>
      </c>
      <c r="D12" t="s">
        <v>51</v>
      </c>
      <c r="E12">
        <v>-15000</v>
      </c>
      <c r="F12" t="s">
        <v>52</v>
      </c>
      <c r="G12" t="s">
        <v>33</v>
      </c>
      <c r="H12" t="s">
        <v>53</v>
      </c>
      <c r="I12" s="6">
        <v>40622</v>
      </c>
    </row>
    <row r="13" spans="1:9" x14ac:dyDescent="0.25">
      <c r="A13" s="6">
        <v>40622</v>
      </c>
      <c r="B13" t="s">
        <v>49</v>
      </c>
      <c r="C13" t="s">
        <v>50</v>
      </c>
      <c r="D13" t="s">
        <v>51</v>
      </c>
      <c r="E13">
        <v>15000</v>
      </c>
      <c r="F13" t="s">
        <v>52</v>
      </c>
      <c r="G13" t="s">
        <v>13</v>
      </c>
      <c r="H13" t="s">
        <v>53</v>
      </c>
      <c r="I13" s="6">
        <v>40622</v>
      </c>
    </row>
    <row r="14" spans="1:9" x14ac:dyDescent="0.25">
      <c r="A14" s="6">
        <v>40628</v>
      </c>
      <c r="B14" t="s">
        <v>49</v>
      </c>
      <c r="C14" t="s">
        <v>55</v>
      </c>
      <c r="D14" t="s">
        <v>56</v>
      </c>
      <c r="E14">
        <v>13000</v>
      </c>
      <c r="F14" t="s">
        <v>52</v>
      </c>
      <c r="G14" t="s">
        <v>33</v>
      </c>
      <c r="H14" t="s">
        <v>57</v>
      </c>
      <c r="I14" s="6">
        <v>40628</v>
      </c>
    </row>
    <row r="15" spans="1:9" x14ac:dyDescent="0.25">
      <c r="A15" s="6">
        <v>40628</v>
      </c>
      <c r="B15" t="s">
        <v>58</v>
      </c>
      <c r="C15" t="s">
        <v>25</v>
      </c>
      <c r="D15" t="s">
        <v>59</v>
      </c>
      <c r="E15">
        <v>220</v>
      </c>
      <c r="F15" t="s">
        <v>52</v>
      </c>
      <c r="G15" t="s">
        <v>13</v>
      </c>
      <c r="H15" t="s">
        <v>60</v>
      </c>
      <c r="I15" s="6">
        <v>40628</v>
      </c>
    </row>
    <row r="16" spans="1:9" x14ac:dyDescent="0.25">
      <c r="A16" s="6">
        <v>40628</v>
      </c>
      <c r="B16" t="s">
        <v>58</v>
      </c>
      <c r="C16" t="s">
        <v>25</v>
      </c>
      <c r="D16" t="s">
        <v>61</v>
      </c>
      <c r="E16">
        <v>100</v>
      </c>
      <c r="F16" t="s">
        <v>52</v>
      </c>
      <c r="G16" t="s">
        <v>13</v>
      </c>
      <c r="H16" t="s">
        <v>62</v>
      </c>
      <c r="I16" s="6">
        <v>40628</v>
      </c>
    </row>
    <row r="17" spans="1:9" x14ac:dyDescent="0.25">
      <c r="A17" s="6">
        <v>40628</v>
      </c>
      <c r="B17" t="s">
        <v>63</v>
      </c>
      <c r="C17" t="s">
        <v>25</v>
      </c>
      <c r="D17" t="s">
        <v>64</v>
      </c>
      <c r="E17">
        <v>6400</v>
      </c>
      <c r="F17" t="s">
        <v>12</v>
      </c>
      <c r="G17" t="s">
        <v>13</v>
      </c>
      <c r="H17" t="s">
        <v>65</v>
      </c>
      <c r="I17" s="6">
        <v>40628</v>
      </c>
    </row>
    <row r="18" spans="1:9" x14ac:dyDescent="0.25">
      <c r="A18" s="6">
        <v>40633</v>
      </c>
      <c r="B18" t="s">
        <v>49</v>
      </c>
      <c r="C18" t="s">
        <v>30</v>
      </c>
      <c r="D18" t="s">
        <v>66</v>
      </c>
      <c r="E18">
        <v>100</v>
      </c>
      <c r="F18" t="s">
        <v>52</v>
      </c>
      <c r="G18" t="s">
        <v>13</v>
      </c>
      <c r="H18" t="s">
        <v>53</v>
      </c>
      <c r="I18" s="6">
        <v>40633</v>
      </c>
    </row>
    <row r="19" spans="1:9" x14ac:dyDescent="0.25">
      <c r="A19" s="6">
        <v>40633</v>
      </c>
      <c r="B19" t="s">
        <v>49</v>
      </c>
      <c r="C19" t="s">
        <v>30</v>
      </c>
      <c r="D19" t="s">
        <v>66</v>
      </c>
      <c r="E19">
        <v>-100</v>
      </c>
      <c r="F19" t="s">
        <v>52</v>
      </c>
      <c r="G19" t="s">
        <v>41</v>
      </c>
      <c r="H19" t="s">
        <v>53</v>
      </c>
      <c r="I19" s="6">
        <v>40633</v>
      </c>
    </row>
    <row r="20" spans="1:9" x14ac:dyDescent="0.25">
      <c r="A20" s="6">
        <v>40547</v>
      </c>
      <c r="B20" t="s">
        <v>15</v>
      </c>
      <c r="C20" t="s">
        <v>67</v>
      </c>
      <c r="D20" t="s">
        <v>17</v>
      </c>
      <c r="E20">
        <v>179</v>
      </c>
      <c r="F20" t="s">
        <v>12</v>
      </c>
      <c r="G20" t="s">
        <v>13</v>
      </c>
      <c r="H20" t="s">
        <v>18</v>
      </c>
      <c r="I20" s="6">
        <v>40548</v>
      </c>
    </row>
    <row r="21" spans="1:9" x14ac:dyDescent="0.25">
      <c r="A21" s="6">
        <v>40667</v>
      </c>
      <c r="B21" t="s">
        <v>24</v>
      </c>
      <c r="C21" t="s">
        <v>25</v>
      </c>
      <c r="D21" t="s">
        <v>26</v>
      </c>
      <c r="E21">
        <v>340</v>
      </c>
      <c r="F21" t="s">
        <v>12</v>
      </c>
      <c r="G21" t="s">
        <v>13</v>
      </c>
      <c r="H21" t="s">
        <v>27</v>
      </c>
      <c r="I21" s="6">
        <v>40667</v>
      </c>
    </row>
    <row r="22" spans="1:9" x14ac:dyDescent="0.25">
      <c r="A22" s="6">
        <v>40881</v>
      </c>
      <c r="B22" t="s">
        <v>38</v>
      </c>
      <c r="C22" t="s">
        <v>39</v>
      </c>
      <c r="D22" t="s">
        <v>40</v>
      </c>
      <c r="E22">
        <v>87</v>
      </c>
      <c r="F22" t="s">
        <v>12</v>
      </c>
      <c r="G22" t="s">
        <v>41</v>
      </c>
      <c r="H22" t="s">
        <v>42</v>
      </c>
      <c r="I22" s="6">
        <v>40881</v>
      </c>
    </row>
    <row r="23" spans="1:9" x14ac:dyDescent="0.25">
      <c r="A23" s="6">
        <v>40648</v>
      </c>
      <c r="B23" t="s">
        <v>29</v>
      </c>
      <c r="C23" t="s">
        <v>30</v>
      </c>
      <c r="D23" t="s">
        <v>31</v>
      </c>
      <c r="E23">
        <v>80</v>
      </c>
      <c r="F23" t="s">
        <v>12</v>
      </c>
      <c r="G23" t="s">
        <v>13</v>
      </c>
      <c r="H23" t="s">
        <v>32</v>
      </c>
      <c r="I23" s="6">
        <v>40648</v>
      </c>
    </row>
    <row r="24" spans="1:9" x14ac:dyDescent="0.25">
      <c r="A24" s="6">
        <v>40648</v>
      </c>
      <c r="B24" t="s">
        <v>29</v>
      </c>
      <c r="C24" t="s">
        <v>30</v>
      </c>
      <c r="D24" t="s">
        <v>31</v>
      </c>
      <c r="E24">
        <v>35</v>
      </c>
      <c r="F24" t="s">
        <v>12</v>
      </c>
      <c r="G24" t="s">
        <v>33</v>
      </c>
      <c r="H24" t="s">
        <v>32</v>
      </c>
      <c r="I24" s="6">
        <v>40648</v>
      </c>
    </row>
    <row r="25" spans="1:9" x14ac:dyDescent="0.25">
      <c r="A25" s="6">
        <v>40648</v>
      </c>
      <c r="B25" t="s">
        <v>34</v>
      </c>
      <c r="C25" t="s">
        <v>35</v>
      </c>
      <c r="D25" t="s">
        <v>36</v>
      </c>
      <c r="E25">
        <v>1000</v>
      </c>
      <c r="F25" t="s">
        <v>12</v>
      </c>
      <c r="G25" t="s">
        <v>13</v>
      </c>
      <c r="H25" t="s">
        <v>37</v>
      </c>
      <c r="I25" s="6">
        <v>40607</v>
      </c>
    </row>
    <row r="26" spans="1:9" x14ac:dyDescent="0.25">
      <c r="A26" s="6">
        <v>40653</v>
      </c>
      <c r="B26" t="s">
        <v>49</v>
      </c>
      <c r="C26" t="s">
        <v>50</v>
      </c>
      <c r="D26" t="s">
        <v>51</v>
      </c>
      <c r="E26">
        <v>-20000</v>
      </c>
      <c r="F26" t="s">
        <v>52</v>
      </c>
      <c r="G26" t="s">
        <v>33</v>
      </c>
      <c r="H26" t="s">
        <v>53</v>
      </c>
      <c r="I26" s="6">
        <v>40653</v>
      </c>
    </row>
    <row r="27" spans="1:9" x14ac:dyDescent="0.25">
      <c r="A27" s="6">
        <v>40653</v>
      </c>
      <c r="B27" t="s">
        <v>49</v>
      </c>
      <c r="C27" t="s">
        <v>50</v>
      </c>
      <c r="D27" t="s">
        <v>51</v>
      </c>
      <c r="E27">
        <v>20000</v>
      </c>
      <c r="F27" t="s">
        <v>52</v>
      </c>
      <c r="G27" t="s">
        <v>13</v>
      </c>
      <c r="H27" t="s">
        <v>53</v>
      </c>
      <c r="I27" s="6">
        <v>40653</v>
      </c>
    </row>
    <row r="28" spans="1:9" x14ac:dyDescent="0.25">
      <c r="A28" s="6">
        <v>40658</v>
      </c>
      <c r="B28" t="s">
        <v>71</v>
      </c>
      <c r="C28" t="s">
        <v>72</v>
      </c>
      <c r="D28" t="s">
        <v>73</v>
      </c>
      <c r="E28">
        <v>1300</v>
      </c>
      <c r="F28" t="s">
        <v>52</v>
      </c>
      <c r="G28" t="s">
        <v>13</v>
      </c>
      <c r="H28" t="s">
        <v>74</v>
      </c>
      <c r="I28" s="6">
        <v>40658</v>
      </c>
    </row>
    <row r="29" spans="1:9" x14ac:dyDescent="0.25">
      <c r="A29" s="6">
        <v>40659</v>
      </c>
      <c r="B29" t="s">
        <v>49</v>
      </c>
      <c r="C29" t="s">
        <v>55</v>
      </c>
      <c r="D29" t="s">
        <v>56</v>
      </c>
      <c r="E29">
        <v>20000</v>
      </c>
      <c r="F29" t="s">
        <v>52</v>
      </c>
      <c r="G29" t="s">
        <v>33</v>
      </c>
      <c r="H29" t="s">
        <v>57</v>
      </c>
      <c r="I29" s="6">
        <v>40659</v>
      </c>
    </row>
    <row r="30" spans="1:9" x14ac:dyDescent="0.25">
      <c r="A30" s="6">
        <v>40659</v>
      </c>
      <c r="B30" t="s">
        <v>76</v>
      </c>
      <c r="C30" t="s">
        <v>35</v>
      </c>
      <c r="D30" t="s">
        <v>77</v>
      </c>
      <c r="E30">
        <v>3000</v>
      </c>
      <c r="F30" t="s">
        <v>12</v>
      </c>
      <c r="G30" t="s">
        <v>13</v>
      </c>
      <c r="H30" t="s">
        <v>78</v>
      </c>
      <c r="I30" s="6">
        <v>40689</v>
      </c>
    </row>
    <row r="31" spans="1:9" x14ac:dyDescent="0.25">
      <c r="A31" s="6">
        <v>40659</v>
      </c>
      <c r="B31" t="s">
        <v>58</v>
      </c>
      <c r="C31" t="s">
        <v>25</v>
      </c>
      <c r="D31" t="s">
        <v>59</v>
      </c>
      <c r="E31">
        <v>220</v>
      </c>
      <c r="F31" t="s">
        <v>52</v>
      </c>
      <c r="G31" t="s">
        <v>13</v>
      </c>
      <c r="H31" t="s">
        <v>60</v>
      </c>
      <c r="I31" s="6">
        <v>40659</v>
      </c>
    </row>
    <row r="32" spans="1:9" x14ac:dyDescent="0.25">
      <c r="A32" s="6">
        <v>40659</v>
      </c>
      <c r="B32" t="s">
        <v>58</v>
      </c>
      <c r="C32" t="s">
        <v>25</v>
      </c>
      <c r="D32" t="s">
        <v>61</v>
      </c>
      <c r="E32">
        <v>100</v>
      </c>
      <c r="F32" t="s">
        <v>52</v>
      </c>
      <c r="G32" t="s">
        <v>13</v>
      </c>
      <c r="H32" t="s">
        <v>62</v>
      </c>
      <c r="I32" s="6">
        <v>40659</v>
      </c>
    </row>
    <row r="33" spans="1:9" x14ac:dyDescent="0.25">
      <c r="A33" s="6">
        <v>40659</v>
      </c>
      <c r="B33" t="s">
        <v>63</v>
      </c>
      <c r="C33" t="s">
        <v>25</v>
      </c>
      <c r="D33" t="s">
        <v>64</v>
      </c>
      <c r="E33">
        <v>6400</v>
      </c>
      <c r="F33" t="s">
        <v>12</v>
      </c>
      <c r="G33" t="s">
        <v>13</v>
      </c>
      <c r="H33" t="s">
        <v>65</v>
      </c>
      <c r="I33" s="6">
        <v>40659</v>
      </c>
    </row>
    <row r="34" spans="1:9" x14ac:dyDescent="0.25">
      <c r="A34" s="6">
        <v>40662</v>
      </c>
      <c r="B34" t="s">
        <v>81</v>
      </c>
      <c r="C34" t="s">
        <v>82</v>
      </c>
      <c r="D34" t="s">
        <v>83</v>
      </c>
      <c r="E34">
        <v>41</v>
      </c>
      <c r="F34" t="s">
        <v>12</v>
      </c>
      <c r="G34" t="s">
        <v>41</v>
      </c>
      <c r="H34" t="s">
        <v>84</v>
      </c>
      <c r="I34" s="6">
        <v>40692</v>
      </c>
    </row>
    <row r="35" spans="1:9" x14ac:dyDescent="0.25">
      <c r="A35" s="6">
        <v>40663</v>
      </c>
      <c r="B35" t="s">
        <v>49</v>
      </c>
      <c r="C35" t="s">
        <v>30</v>
      </c>
      <c r="D35" t="s">
        <v>66</v>
      </c>
      <c r="E35">
        <v>100</v>
      </c>
      <c r="F35" t="s">
        <v>52</v>
      </c>
      <c r="G35" t="s">
        <v>13</v>
      </c>
      <c r="H35" t="s">
        <v>53</v>
      </c>
      <c r="I35" s="6">
        <v>40663</v>
      </c>
    </row>
    <row r="36" spans="1:9" x14ac:dyDescent="0.25">
      <c r="A36" s="6">
        <v>40663</v>
      </c>
      <c r="B36" t="s">
        <v>49</v>
      </c>
      <c r="C36" t="s">
        <v>30</v>
      </c>
      <c r="D36" t="s">
        <v>66</v>
      </c>
      <c r="E36">
        <v>-100</v>
      </c>
      <c r="F36" t="s">
        <v>52</v>
      </c>
      <c r="G36" t="s">
        <v>41</v>
      </c>
      <c r="H36" t="s">
        <v>53</v>
      </c>
      <c r="I36" s="6">
        <v>40663</v>
      </c>
    </row>
    <row r="37" spans="1:9" x14ac:dyDescent="0.25">
      <c r="A37" s="6">
        <v>40548</v>
      </c>
      <c r="B37" t="s">
        <v>15</v>
      </c>
      <c r="C37" t="s">
        <v>87</v>
      </c>
      <c r="D37" t="s">
        <v>17</v>
      </c>
      <c r="E37">
        <v>179</v>
      </c>
      <c r="F37" t="s">
        <v>12</v>
      </c>
      <c r="G37" t="s">
        <v>13</v>
      </c>
      <c r="H37" t="s">
        <v>18</v>
      </c>
      <c r="I37" s="6">
        <v>40694</v>
      </c>
    </row>
    <row r="38" spans="1:9" x14ac:dyDescent="0.25">
      <c r="A38" s="6">
        <v>40548</v>
      </c>
      <c r="B38" t="s">
        <v>89</v>
      </c>
      <c r="C38" t="s">
        <v>35</v>
      </c>
      <c r="D38" t="s">
        <v>90</v>
      </c>
      <c r="E38">
        <v>220</v>
      </c>
      <c r="F38" t="s">
        <v>12</v>
      </c>
      <c r="G38" t="s">
        <v>13</v>
      </c>
      <c r="H38" t="s">
        <v>91</v>
      </c>
      <c r="I38" s="6">
        <v>40694</v>
      </c>
    </row>
    <row r="39" spans="1:9" x14ac:dyDescent="0.25">
      <c r="A39" s="6">
        <v>40668</v>
      </c>
      <c r="B39" t="s">
        <v>24</v>
      </c>
      <c r="C39" t="s">
        <v>25</v>
      </c>
      <c r="D39" t="s">
        <v>26</v>
      </c>
      <c r="E39">
        <v>340</v>
      </c>
      <c r="F39" t="s">
        <v>12</v>
      </c>
      <c r="G39" t="s">
        <v>13</v>
      </c>
      <c r="H39" t="s">
        <v>27</v>
      </c>
      <c r="I39" s="6">
        <v>40668</v>
      </c>
    </row>
    <row r="40" spans="1:9" x14ac:dyDescent="0.25">
      <c r="A40" s="6">
        <v>40729</v>
      </c>
      <c r="B40" t="s">
        <v>92</v>
      </c>
      <c r="C40" t="s">
        <v>93</v>
      </c>
      <c r="D40" t="s">
        <v>94</v>
      </c>
      <c r="E40">
        <v>563</v>
      </c>
      <c r="F40" t="s">
        <v>12</v>
      </c>
      <c r="G40" t="s">
        <v>13</v>
      </c>
      <c r="H40" t="s">
        <v>47</v>
      </c>
      <c r="I40" s="6">
        <v>40729</v>
      </c>
    </row>
    <row r="41" spans="1:9" x14ac:dyDescent="0.25">
      <c r="A41" s="6">
        <v>40729</v>
      </c>
      <c r="B41" t="s">
        <v>95</v>
      </c>
      <c r="C41" t="s">
        <v>35</v>
      </c>
      <c r="D41" t="s">
        <v>96</v>
      </c>
      <c r="E41">
        <v>982</v>
      </c>
      <c r="F41" t="s">
        <v>12</v>
      </c>
      <c r="G41" t="s">
        <v>13</v>
      </c>
      <c r="H41" t="s">
        <v>97</v>
      </c>
      <c r="I41" s="6">
        <v>40700</v>
      </c>
    </row>
    <row r="42" spans="1:9" x14ac:dyDescent="0.25">
      <c r="A42" s="6">
        <v>40678</v>
      </c>
      <c r="B42" t="s">
        <v>29</v>
      </c>
      <c r="C42" t="s">
        <v>30</v>
      </c>
      <c r="D42" t="s">
        <v>31</v>
      </c>
      <c r="E42">
        <v>80</v>
      </c>
      <c r="F42" t="s">
        <v>12</v>
      </c>
      <c r="G42" t="s">
        <v>13</v>
      </c>
      <c r="H42" t="s">
        <v>32</v>
      </c>
      <c r="I42" s="6">
        <v>40678</v>
      </c>
    </row>
    <row r="43" spans="1:9" x14ac:dyDescent="0.25">
      <c r="A43" s="6">
        <v>40678</v>
      </c>
      <c r="B43" t="s">
        <v>29</v>
      </c>
      <c r="C43" t="s">
        <v>30</v>
      </c>
      <c r="D43" t="s">
        <v>31</v>
      </c>
      <c r="E43">
        <v>35</v>
      </c>
      <c r="F43" t="s">
        <v>12</v>
      </c>
      <c r="G43" t="s">
        <v>33</v>
      </c>
      <c r="H43" t="s">
        <v>32</v>
      </c>
      <c r="I43" s="6">
        <v>40678</v>
      </c>
    </row>
    <row r="44" spans="1:9" x14ac:dyDescent="0.25">
      <c r="A44" s="6">
        <v>40678</v>
      </c>
      <c r="B44" t="s">
        <v>34</v>
      </c>
      <c r="C44" t="s">
        <v>35</v>
      </c>
      <c r="D44" t="s">
        <v>36</v>
      </c>
      <c r="E44">
        <v>1000</v>
      </c>
      <c r="F44" t="s">
        <v>12</v>
      </c>
      <c r="G44" t="s">
        <v>13</v>
      </c>
      <c r="H44" t="s">
        <v>37</v>
      </c>
      <c r="I44" s="6">
        <v>40580</v>
      </c>
    </row>
    <row r="45" spans="1:9" x14ac:dyDescent="0.25">
      <c r="A45" s="6">
        <v>40683</v>
      </c>
      <c r="B45" t="s">
        <v>49</v>
      </c>
      <c r="C45" t="s">
        <v>50</v>
      </c>
      <c r="D45" t="s">
        <v>51</v>
      </c>
      <c r="E45">
        <v>-20000</v>
      </c>
      <c r="F45" t="s">
        <v>52</v>
      </c>
      <c r="G45" t="s">
        <v>33</v>
      </c>
      <c r="H45" t="s">
        <v>53</v>
      </c>
      <c r="I45" s="6">
        <v>40683</v>
      </c>
    </row>
    <row r="46" spans="1:9" x14ac:dyDescent="0.25">
      <c r="A46" s="6">
        <v>40683</v>
      </c>
      <c r="B46" t="s">
        <v>49</v>
      </c>
      <c r="C46" t="s">
        <v>50</v>
      </c>
      <c r="D46" t="s">
        <v>51</v>
      </c>
      <c r="E46">
        <v>20000</v>
      </c>
      <c r="F46" t="s">
        <v>52</v>
      </c>
      <c r="G46" t="s">
        <v>13</v>
      </c>
      <c r="H46" t="s">
        <v>53</v>
      </c>
      <c r="I46" s="6">
        <v>40683</v>
      </c>
    </row>
    <row r="47" spans="1:9" x14ac:dyDescent="0.25">
      <c r="A47" s="6">
        <v>40689</v>
      </c>
      <c r="B47" t="s">
        <v>49</v>
      </c>
      <c r="C47" t="s">
        <v>55</v>
      </c>
      <c r="D47" t="s">
        <v>56</v>
      </c>
      <c r="E47">
        <v>20000</v>
      </c>
      <c r="F47" t="s">
        <v>52</v>
      </c>
      <c r="G47" t="s">
        <v>33</v>
      </c>
      <c r="H47" t="s">
        <v>57</v>
      </c>
      <c r="I47" s="6">
        <v>40689</v>
      </c>
    </row>
    <row r="48" spans="1:9" x14ac:dyDescent="0.25">
      <c r="A48" s="6">
        <v>40689</v>
      </c>
      <c r="B48" t="s">
        <v>58</v>
      </c>
      <c r="C48" t="s">
        <v>25</v>
      </c>
      <c r="D48" t="s">
        <v>59</v>
      </c>
      <c r="E48">
        <v>220</v>
      </c>
      <c r="F48" t="s">
        <v>52</v>
      </c>
      <c r="G48" t="s">
        <v>13</v>
      </c>
      <c r="H48" t="s">
        <v>60</v>
      </c>
      <c r="I48" s="6">
        <v>40689</v>
      </c>
    </row>
    <row r="49" spans="1:9" x14ac:dyDescent="0.25">
      <c r="A49" s="6">
        <v>40689</v>
      </c>
      <c r="B49" t="s">
        <v>58</v>
      </c>
      <c r="C49" t="s">
        <v>25</v>
      </c>
      <c r="D49" t="s">
        <v>61</v>
      </c>
      <c r="E49">
        <v>100</v>
      </c>
      <c r="F49" t="s">
        <v>52</v>
      </c>
      <c r="G49" t="s">
        <v>13</v>
      </c>
      <c r="H49" t="s">
        <v>62</v>
      </c>
      <c r="I49" s="6">
        <v>40689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9"/>
  <sheetViews>
    <sheetView workbookViewId="0">
      <selection activeCell="L10" sqref="L10"/>
    </sheetView>
  </sheetViews>
  <sheetFormatPr defaultColWidth="12.6328125" defaultRowHeight="15.75" customHeight="1" x14ac:dyDescent="0.25"/>
  <cols>
    <col min="1" max="1" width="22.453125" style="6" bestFit="1" customWidth="1"/>
    <col min="2" max="2" width="16.1796875" bestFit="1" customWidth="1"/>
    <col min="3" max="3" width="13.6328125" bestFit="1" customWidth="1"/>
    <col min="4" max="4" width="22.90625" bestFit="1" customWidth="1"/>
    <col min="5" max="5" width="17.7265625" bestFit="1" customWidth="1"/>
    <col min="6" max="6" width="2" bestFit="1" customWidth="1"/>
    <col min="7" max="7" width="9.6328125" bestFit="1" customWidth="1"/>
    <col min="8" max="8" width="12" bestFit="1" customWidth="1"/>
    <col min="9" max="9" width="12.1796875" bestFit="1" customWidth="1"/>
  </cols>
  <sheetData>
    <row r="1" spans="1:9" ht="15.75" customHeight="1" x14ac:dyDescent="0.25">
      <c r="A1" s="4" t="s">
        <v>100</v>
      </c>
    </row>
    <row r="2" spans="1:9" ht="15.75" customHeight="1" x14ac:dyDescent="0.25">
      <c r="A2" s="1" t="s">
        <v>0</v>
      </c>
      <c r="B2" s="1" t="s">
        <v>1</v>
      </c>
      <c r="C2" s="1" t="s">
        <v>2</v>
      </c>
      <c r="D2" s="1" t="s">
        <v>3</v>
      </c>
      <c r="E2" s="1" t="s">
        <v>4</v>
      </c>
      <c r="G2" s="1" t="s">
        <v>5</v>
      </c>
      <c r="H2" s="1" t="s">
        <v>6</v>
      </c>
      <c r="I2" s="1" t="s">
        <v>7</v>
      </c>
    </row>
    <row r="3" spans="1:9" ht="15.75" customHeight="1" x14ac:dyDescent="0.25">
      <c r="A3" s="5" t="s">
        <v>8</v>
      </c>
      <c r="B3" s="1" t="s">
        <v>9</v>
      </c>
      <c r="C3" s="1" t="s">
        <v>10</v>
      </c>
      <c r="D3" s="1" t="s">
        <v>11</v>
      </c>
      <c r="E3" s="2">
        <v>5100</v>
      </c>
      <c r="F3" s="1" t="s">
        <v>12</v>
      </c>
      <c r="G3" s="1" t="s">
        <v>13</v>
      </c>
      <c r="H3" s="1" t="s">
        <v>14</v>
      </c>
      <c r="I3" s="3">
        <v>40577</v>
      </c>
    </row>
    <row r="4" spans="1:9" ht="15.75" customHeight="1" x14ac:dyDescent="0.25">
      <c r="A4" s="5">
        <v>40546</v>
      </c>
      <c r="B4" s="1" t="s">
        <v>15</v>
      </c>
      <c r="C4" s="1" t="s">
        <v>16</v>
      </c>
      <c r="D4" s="1" t="s">
        <v>17</v>
      </c>
      <c r="E4" s="1">
        <v>179</v>
      </c>
      <c r="F4" s="1" t="s">
        <v>12</v>
      </c>
      <c r="G4" s="1" t="s">
        <v>13</v>
      </c>
      <c r="H4" s="1" t="s">
        <v>18</v>
      </c>
      <c r="I4" s="1" t="s">
        <v>19</v>
      </c>
    </row>
    <row r="5" spans="1:9" ht="15.75" customHeight="1" x14ac:dyDescent="0.25">
      <c r="A5" s="5">
        <v>40577</v>
      </c>
      <c r="B5" s="1" t="s">
        <v>20</v>
      </c>
      <c r="C5" s="1" t="s">
        <v>21</v>
      </c>
      <c r="D5" s="1" t="s">
        <v>22</v>
      </c>
      <c r="E5" s="1">
        <v>478</v>
      </c>
      <c r="F5" s="1" t="s">
        <v>12</v>
      </c>
      <c r="G5" s="1" t="s">
        <v>13</v>
      </c>
      <c r="H5" s="1" t="s">
        <v>23</v>
      </c>
      <c r="I5" s="3">
        <v>40547</v>
      </c>
    </row>
    <row r="6" spans="1:9" ht="15.75" customHeight="1" x14ac:dyDescent="0.25">
      <c r="A6" s="5">
        <v>40666</v>
      </c>
      <c r="B6" s="1" t="s">
        <v>24</v>
      </c>
      <c r="C6" s="1" t="s">
        <v>25</v>
      </c>
      <c r="D6" s="1" t="s">
        <v>26</v>
      </c>
      <c r="E6" s="1">
        <v>340</v>
      </c>
      <c r="F6" s="1" t="s">
        <v>12</v>
      </c>
      <c r="G6" s="1" t="s">
        <v>13</v>
      </c>
      <c r="H6" s="1" t="s">
        <v>27</v>
      </c>
      <c r="I6" s="3">
        <v>40666</v>
      </c>
    </row>
    <row r="7" spans="1:9" ht="15.75" customHeight="1" x14ac:dyDescent="0.25">
      <c r="A7" s="5" t="s">
        <v>28</v>
      </c>
      <c r="B7" s="1" t="s">
        <v>29</v>
      </c>
      <c r="C7" s="1" t="s">
        <v>30</v>
      </c>
      <c r="D7" s="1" t="s">
        <v>31</v>
      </c>
      <c r="E7" s="1">
        <v>50</v>
      </c>
      <c r="F7" s="1" t="s">
        <v>12</v>
      </c>
      <c r="G7" s="1" t="s">
        <v>13</v>
      </c>
      <c r="H7" s="1" t="s">
        <v>32</v>
      </c>
      <c r="I7" s="1" t="s">
        <v>28</v>
      </c>
    </row>
    <row r="8" spans="1:9" ht="15.75" customHeight="1" x14ac:dyDescent="0.25">
      <c r="A8" s="5" t="s">
        <v>28</v>
      </c>
      <c r="B8" s="1" t="s">
        <v>29</v>
      </c>
      <c r="C8" s="1" t="s">
        <v>30</v>
      </c>
      <c r="D8" s="1" t="s">
        <v>31</v>
      </c>
      <c r="E8" s="1">
        <v>35</v>
      </c>
      <c r="F8" s="1" t="s">
        <v>12</v>
      </c>
      <c r="G8" s="1" t="s">
        <v>33</v>
      </c>
      <c r="H8" s="1" t="s">
        <v>32</v>
      </c>
      <c r="I8" s="1" t="s">
        <v>28</v>
      </c>
    </row>
    <row r="9" spans="1:9" ht="15.75" customHeight="1" x14ac:dyDescent="0.25">
      <c r="A9" s="5" t="s">
        <v>28</v>
      </c>
      <c r="B9" s="1" t="s">
        <v>34</v>
      </c>
      <c r="C9" s="1" t="s">
        <v>35</v>
      </c>
      <c r="D9" s="1" t="s">
        <v>36</v>
      </c>
      <c r="E9" s="2">
        <v>1000</v>
      </c>
      <c r="F9" s="1" t="s">
        <v>12</v>
      </c>
      <c r="G9" s="1" t="s">
        <v>13</v>
      </c>
      <c r="H9" s="1" t="s">
        <v>37</v>
      </c>
      <c r="I9" s="3">
        <v>40578</v>
      </c>
    </row>
    <row r="10" spans="1:9" ht="15.75" customHeight="1" x14ac:dyDescent="0.25">
      <c r="A10" s="5" t="s">
        <v>28</v>
      </c>
      <c r="B10" s="1" t="s">
        <v>38</v>
      </c>
      <c r="C10" s="1" t="s">
        <v>39</v>
      </c>
      <c r="D10" s="1" t="s">
        <v>40</v>
      </c>
      <c r="E10" s="1">
        <v>90</v>
      </c>
      <c r="F10" s="1" t="s">
        <v>12</v>
      </c>
      <c r="G10" s="1" t="s">
        <v>41</v>
      </c>
      <c r="H10" s="1" t="s">
        <v>42</v>
      </c>
      <c r="I10" s="1" t="s">
        <v>28</v>
      </c>
    </row>
    <row r="11" spans="1:9" ht="15.75" customHeight="1" x14ac:dyDescent="0.25">
      <c r="A11" s="5" t="s">
        <v>43</v>
      </c>
      <c r="B11" s="1" t="s">
        <v>44</v>
      </c>
      <c r="C11" s="1" t="s">
        <v>45</v>
      </c>
      <c r="D11" s="1" t="s">
        <v>46</v>
      </c>
      <c r="E11" s="1">
        <v>200</v>
      </c>
      <c r="F11" s="1" t="s">
        <v>12</v>
      </c>
      <c r="G11" s="1" t="s">
        <v>13</v>
      </c>
      <c r="H11" s="1" t="s">
        <v>47</v>
      </c>
      <c r="I11" s="1" t="s">
        <v>43</v>
      </c>
    </row>
    <row r="12" spans="1:9" ht="15.75" customHeight="1" x14ac:dyDescent="0.25">
      <c r="A12" s="5" t="s">
        <v>48</v>
      </c>
      <c r="B12" s="1" t="s">
        <v>49</v>
      </c>
      <c r="C12" s="1" t="s">
        <v>50</v>
      </c>
      <c r="D12" s="1" t="s">
        <v>51</v>
      </c>
      <c r="E12" s="2">
        <v>-15000</v>
      </c>
      <c r="F12" s="1" t="s">
        <v>52</v>
      </c>
      <c r="G12" s="1" t="s">
        <v>33</v>
      </c>
      <c r="H12" s="1" t="s">
        <v>53</v>
      </c>
      <c r="I12" s="1" t="s">
        <v>48</v>
      </c>
    </row>
    <row r="13" spans="1:9" ht="15.75" customHeight="1" x14ac:dyDescent="0.25">
      <c r="A13" s="5" t="s">
        <v>48</v>
      </c>
      <c r="B13" s="1" t="s">
        <v>49</v>
      </c>
      <c r="C13" s="1" t="s">
        <v>50</v>
      </c>
      <c r="D13" s="1" t="s">
        <v>51</v>
      </c>
      <c r="E13" s="2">
        <v>15000</v>
      </c>
      <c r="F13" s="1" t="s">
        <v>52</v>
      </c>
      <c r="G13" s="1" t="s">
        <v>13</v>
      </c>
      <c r="H13" s="1" t="s">
        <v>53</v>
      </c>
      <c r="I13" s="1" t="s">
        <v>48</v>
      </c>
    </row>
    <row r="14" spans="1:9" ht="15.75" customHeight="1" x14ac:dyDescent="0.25">
      <c r="A14" s="5" t="s">
        <v>54</v>
      </c>
      <c r="B14" s="1" t="s">
        <v>49</v>
      </c>
      <c r="C14" s="1" t="s">
        <v>55</v>
      </c>
      <c r="D14" s="1" t="s">
        <v>56</v>
      </c>
      <c r="E14" s="2">
        <v>13000</v>
      </c>
      <c r="F14" s="1" t="s">
        <v>52</v>
      </c>
      <c r="G14" s="1" t="s">
        <v>33</v>
      </c>
      <c r="H14" s="1" t="s">
        <v>57</v>
      </c>
      <c r="I14" s="1" t="s">
        <v>54</v>
      </c>
    </row>
    <row r="15" spans="1:9" ht="15.75" customHeight="1" x14ac:dyDescent="0.25">
      <c r="A15" s="5" t="s">
        <v>54</v>
      </c>
      <c r="B15" s="1" t="s">
        <v>58</v>
      </c>
      <c r="C15" s="1" t="s">
        <v>25</v>
      </c>
      <c r="D15" s="1" t="s">
        <v>59</v>
      </c>
      <c r="E15" s="1">
        <v>220</v>
      </c>
      <c r="F15" s="1" t="s">
        <v>52</v>
      </c>
      <c r="G15" s="1" t="s">
        <v>13</v>
      </c>
      <c r="H15" s="1" t="s">
        <v>60</v>
      </c>
      <c r="I15" s="1" t="s">
        <v>54</v>
      </c>
    </row>
    <row r="16" spans="1:9" ht="15.75" customHeight="1" x14ac:dyDescent="0.25">
      <c r="A16" s="5" t="s">
        <v>54</v>
      </c>
      <c r="B16" s="1" t="s">
        <v>58</v>
      </c>
      <c r="C16" s="1" t="s">
        <v>25</v>
      </c>
      <c r="D16" s="1" t="s">
        <v>61</v>
      </c>
      <c r="E16" s="1">
        <v>100</v>
      </c>
      <c r="F16" s="1" t="s">
        <v>52</v>
      </c>
      <c r="G16" s="1" t="s">
        <v>13</v>
      </c>
      <c r="H16" s="1" t="s">
        <v>62</v>
      </c>
      <c r="I16" s="1" t="s">
        <v>54</v>
      </c>
    </row>
    <row r="17" spans="1:9" ht="15.75" customHeight="1" x14ac:dyDescent="0.25">
      <c r="A17" s="5" t="s">
        <v>54</v>
      </c>
      <c r="B17" s="1" t="s">
        <v>63</v>
      </c>
      <c r="C17" s="1" t="s">
        <v>25</v>
      </c>
      <c r="D17" s="1" t="s">
        <v>64</v>
      </c>
      <c r="E17" s="2">
        <v>6400</v>
      </c>
      <c r="F17" s="1" t="s">
        <v>12</v>
      </c>
      <c r="G17" s="1" t="s">
        <v>13</v>
      </c>
      <c r="H17" s="1" t="s">
        <v>65</v>
      </c>
      <c r="I17" s="1" t="s">
        <v>54</v>
      </c>
    </row>
    <row r="18" spans="1:9" ht="15.75" customHeight="1" x14ac:dyDescent="0.25">
      <c r="A18" s="5" t="s">
        <v>19</v>
      </c>
      <c r="B18" s="1" t="s">
        <v>49</v>
      </c>
      <c r="C18" s="1" t="s">
        <v>30</v>
      </c>
      <c r="D18" s="1" t="s">
        <v>66</v>
      </c>
      <c r="E18" s="1">
        <v>100</v>
      </c>
      <c r="F18" s="1" t="s">
        <v>52</v>
      </c>
      <c r="G18" s="1" t="s">
        <v>13</v>
      </c>
      <c r="H18" s="1" t="s">
        <v>53</v>
      </c>
      <c r="I18" s="1" t="s">
        <v>19</v>
      </c>
    </row>
    <row r="19" spans="1:9" ht="15.75" customHeight="1" x14ac:dyDescent="0.25">
      <c r="A19" s="5" t="s">
        <v>19</v>
      </c>
      <c r="B19" s="1" t="s">
        <v>49</v>
      </c>
      <c r="C19" s="1" t="s">
        <v>30</v>
      </c>
      <c r="D19" s="1" t="s">
        <v>66</v>
      </c>
      <c r="E19" s="1">
        <v>-100</v>
      </c>
      <c r="F19" s="1" t="s">
        <v>52</v>
      </c>
      <c r="G19" s="1" t="s">
        <v>41</v>
      </c>
      <c r="H19" s="1" t="s">
        <v>53</v>
      </c>
      <c r="I19" s="1" t="s">
        <v>19</v>
      </c>
    </row>
    <row r="20" spans="1:9" ht="15.75" customHeight="1" x14ac:dyDescent="0.25">
      <c r="A20" s="5">
        <v>40547</v>
      </c>
      <c r="B20" s="1" t="s">
        <v>15</v>
      </c>
      <c r="C20" s="1" t="s">
        <v>67</v>
      </c>
      <c r="D20" s="1" t="s">
        <v>17</v>
      </c>
      <c r="E20" s="1">
        <v>179</v>
      </c>
      <c r="F20" s="1" t="s">
        <v>12</v>
      </c>
      <c r="G20" s="1" t="s">
        <v>13</v>
      </c>
      <c r="H20" s="1" t="s">
        <v>18</v>
      </c>
      <c r="I20" s="3">
        <v>40548</v>
      </c>
    </row>
    <row r="21" spans="1:9" ht="15.75" customHeight="1" x14ac:dyDescent="0.25">
      <c r="A21" s="5">
        <v>40667</v>
      </c>
      <c r="B21" s="1" t="s">
        <v>24</v>
      </c>
      <c r="C21" s="1" t="s">
        <v>25</v>
      </c>
      <c r="D21" s="1" t="s">
        <v>26</v>
      </c>
      <c r="E21" s="1">
        <v>340</v>
      </c>
      <c r="F21" s="1" t="s">
        <v>12</v>
      </c>
      <c r="G21" s="1" t="s">
        <v>13</v>
      </c>
      <c r="H21" s="1" t="s">
        <v>27</v>
      </c>
      <c r="I21" s="3">
        <v>40667</v>
      </c>
    </row>
    <row r="22" spans="1:9" ht="12.5" x14ac:dyDescent="0.25">
      <c r="A22" s="5">
        <v>40881</v>
      </c>
      <c r="B22" s="1" t="s">
        <v>38</v>
      </c>
      <c r="C22" s="1" t="s">
        <v>39</v>
      </c>
      <c r="D22" s="1" t="s">
        <v>40</v>
      </c>
      <c r="E22" s="1">
        <v>87</v>
      </c>
      <c r="F22" s="1" t="s">
        <v>12</v>
      </c>
      <c r="G22" s="1" t="s">
        <v>41</v>
      </c>
      <c r="H22" s="1" t="s">
        <v>42</v>
      </c>
      <c r="I22" s="3">
        <v>40881</v>
      </c>
    </row>
    <row r="23" spans="1:9" ht="12.5" x14ac:dyDescent="0.25">
      <c r="A23" s="5" t="s">
        <v>68</v>
      </c>
      <c r="B23" s="1" t="s">
        <v>29</v>
      </c>
      <c r="C23" s="1" t="s">
        <v>30</v>
      </c>
      <c r="D23" s="1" t="s">
        <v>31</v>
      </c>
      <c r="E23" s="1">
        <v>80</v>
      </c>
      <c r="F23" s="1" t="s">
        <v>12</v>
      </c>
      <c r="G23" s="1" t="s">
        <v>13</v>
      </c>
      <c r="H23" s="1" t="s">
        <v>32</v>
      </c>
      <c r="I23" s="1" t="s">
        <v>68</v>
      </c>
    </row>
    <row r="24" spans="1:9" ht="12.5" x14ac:dyDescent="0.25">
      <c r="A24" s="5" t="s">
        <v>68</v>
      </c>
      <c r="B24" s="1" t="s">
        <v>29</v>
      </c>
      <c r="C24" s="1" t="s">
        <v>30</v>
      </c>
      <c r="D24" s="1" t="s">
        <v>31</v>
      </c>
      <c r="E24" s="1">
        <v>35</v>
      </c>
      <c r="F24" s="1" t="s">
        <v>12</v>
      </c>
      <c r="G24" s="1" t="s">
        <v>33</v>
      </c>
      <c r="H24" s="1" t="s">
        <v>32</v>
      </c>
      <c r="I24" s="1" t="s">
        <v>68</v>
      </c>
    </row>
    <row r="25" spans="1:9" ht="12.5" x14ac:dyDescent="0.25">
      <c r="A25" s="5" t="s">
        <v>68</v>
      </c>
      <c r="B25" s="1" t="s">
        <v>34</v>
      </c>
      <c r="C25" s="1" t="s">
        <v>35</v>
      </c>
      <c r="D25" s="1" t="s">
        <v>36</v>
      </c>
      <c r="E25" s="2">
        <v>1000</v>
      </c>
      <c r="F25" s="1" t="s">
        <v>12</v>
      </c>
      <c r="G25" s="1" t="s">
        <v>13</v>
      </c>
      <c r="H25" s="1" t="s">
        <v>37</v>
      </c>
      <c r="I25" s="3">
        <v>40607</v>
      </c>
    </row>
    <row r="26" spans="1:9" ht="12.5" x14ac:dyDescent="0.25">
      <c r="A26" s="5" t="s">
        <v>69</v>
      </c>
      <c r="B26" s="1" t="s">
        <v>49</v>
      </c>
      <c r="C26" s="1" t="s">
        <v>50</v>
      </c>
      <c r="D26" s="1" t="s">
        <v>51</v>
      </c>
      <c r="E26" s="2">
        <v>-20000</v>
      </c>
      <c r="F26" s="1" t="s">
        <v>52</v>
      </c>
      <c r="G26" s="1" t="s">
        <v>33</v>
      </c>
      <c r="H26" s="1" t="s">
        <v>53</v>
      </c>
      <c r="I26" s="1" t="s">
        <v>69</v>
      </c>
    </row>
    <row r="27" spans="1:9" ht="12.5" x14ac:dyDescent="0.25">
      <c r="A27" s="5" t="s">
        <v>69</v>
      </c>
      <c r="B27" s="1" t="s">
        <v>49</v>
      </c>
      <c r="C27" s="1" t="s">
        <v>50</v>
      </c>
      <c r="D27" s="1" t="s">
        <v>51</v>
      </c>
      <c r="E27" s="2">
        <v>20000</v>
      </c>
      <c r="F27" s="1" t="s">
        <v>52</v>
      </c>
      <c r="G27" s="1" t="s">
        <v>13</v>
      </c>
      <c r="H27" s="1" t="s">
        <v>53</v>
      </c>
      <c r="I27" s="1" t="s">
        <v>69</v>
      </c>
    </row>
    <row r="28" spans="1:9" ht="12.5" x14ac:dyDescent="0.25">
      <c r="A28" s="5" t="s">
        <v>70</v>
      </c>
      <c r="B28" s="1" t="s">
        <v>71</v>
      </c>
      <c r="C28" s="1" t="s">
        <v>72</v>
      </c>
      <c r="D28" s="1" t="s">
        <v>73</v>
      </c>
      <c r="E28" s="2">
        <v>1300</v>
      </c>
      <c r="F28" s="1" t="s">
        <v>52</v>
      </c>
      <c r="G28" s="1" t="s">
        <v>13</v>
      </c>
      <c r="H28" s="1" t="s">
        <v>74</v>
      </c>
      <c r="I28" s="1" t="s">
        <v>70</v>
      </c>
    </row>
    <row r="29" spans="1:9" ht="12.5" x14ac:dyDescent="0.25">
      <c r="A29" s="5" t="s">
        <v>75</v>
      </c>
      <c r="B29" s="1" t="s">
        <v>49</v>
      </c>
      <c r="C29" s="1" t="s">
        <v>55</v>
      </c>
      <c r="D29" s="1" t="s">
        <v>56</v>
      </c>
      <c r="E29" s="2">
        <v>20000</v>
      </c>
      <c r="F29" s="1" t="s">
        <v>52</v>
      </c>
      <c r="G29" s="1" t="s">
        <v>33</v>
      </c>
      <c r="H29" s="1" t="s">
        <v>57</v>
      </c>
      <c r="I29" s="1" t="s">
        <v>75</v>
      </c>
    </row>
    <row r="30" spans="1:9" ht="12.5" x14ac:dyDescent="0.25">
      <c r="A30" s="5" t="s">
        <v>75</v>
      </c>
      <c r="B30" s="1" t="s">
        <v>76</v>
      </c>
      <c r="C30" s="1" t="s">
        <v>35</v>
      </c>
      <c r="D30" s="1" t="s">
        <v>77</v>
      </c>
      <c r="E30" s="2">
        <v>3000</v>
      </c>
      <c r="F30" s="1" t="s">
        <v>12</v>
      </c>
      <c r="G30" s="1" t="s">
        <v>13</v>
      </c>
      <c r="H30" s="1" t="s">
        <v>78</v>
      </c>
      <c r="I30" s="1" t="s">
        <v>79</v>
      </c>
    </row>
    <row r="31" spans="1:9" ht="12.5" x14ac:dyDescent="0.25">
      <c r="A31" s="5" t="s">
        <v>75</v>
      </c>
      <c r="B31" s="1" t="s">
        <v>58</v>
      </c>
      <c r="C31" s="1" t="s">
        <v>25</v>
      </c>
      <c r="D31" s="1" t="s">
        <v>59</v>
      </c>
      <c r="E31" s="1">
        <v>220</v>
      </c>
      <c r="F31" s="1" t="s">
        <v>52</v>
      </c>
      <c r="G31" s="1" t="s">
        <v>13</v>
      </c>
      <c r="H31" s="1" t="s">
        <v>60</v>
      </c>
      <c r="I31" s="1" t="s">
        <v>75</v>
      </c>
    </row>
    <row r="32" spans="1:9" ht="12.5" x14ac:dyDescent="0.25">
      <c r="A32" s="5" t="s">
        <v>75</v>
      </c>
      <c r="B32" s="1" t="s">
        <v>58</v>
      </c>
      <c r="C32" s="1" t="s">
        <v>25</v>
      </c>
      <c r="D32" s="1" t="s">
        <v>61</v>
      </c>
      <c r="E32" s="1">
        <v>100</v>
      </c>
      <c r="F32" s="1" t="s">
        <v>52</v>
      </c>
      <c r="G32" s="1" t="s">
        <v>13</v>
      </c>
      <c r="H32" s="1" t="s">
        <v>62</v>
      </c>
      <c r="I32" s="1" t="s">
        <v>75</v>
      </c>
    </row>
    <row r="33" spans="1:9" ht="12.5" x14ac:dyDescent="0.25">
      <c r="A33" s="5" t="s">
        <v>75</v>
      </c>
      <c r="B33" s="1" t="s">
        <v>63</v>
      </c>
      <c r="C33" s="1" t="s">
        <v>25</v>
      </c>
      <c r="D33" s="1" t="s">
        <v>64</v>
      </c>
      <c r="E33" s="2">
        <v>6400</v>
      </c>
      <c r="F33" s="1" t="s">
        <v>12</v>
      </c>
      <c r="G33" s="1" t="s">
        <v>13</v>
      </c>
      <c r="H33" s="1" t="s">
        <v>65</v>
      </c>
      <c r="I33" s="1" t="s">
        <v>75</v>
      </c>
    </row>
    <row r="34" spans="1:9" ht="12.5" x14ac:dyDescent="0.25">
      <c r="A34" s="5" t="s">
        <v>80</v>
      </c>
      <c r="B34" s="1" t="s">
        <v>81</v>
      </c>
      <c r="C34" s="1" t="s">
        <v>82</v>
      </c>
      <c r="D34" s="1" t="s">
        <v>83</v>
      </c>
      <c r="E34" s="1">
        <v>41</v>
      </c>
      <c r="F34" s="1" t="s">
        <v>12</v>
      </c>
      <c r="G34" s="1" t="s">
        <v>41</v>
      </c>
      <c r="H34" s="1" t="s">
        <v>84</v>
      </c>
      <c r="I34" s="1" t="s">
        <v>85</v>
      </c>
    </row>
    <row r="35" spans="1:9" ht="12.5" x14ac:dyDescent="0.25">
      <c r="A35" s="5" t="s">
        <v>86</v>
      </c>
      <c r="B35" s="1" t="s">
        <v>49</v>
      </c>
      <c r="C35" s="1" t="s">
        <v>30</v>
      </c>
      <c r="D35" s="1" t="s">
        <v>66</v>
      </c>
      <c r="E35" s="1">
        <v>100</v>
      </c>
      <c r="F35" s="1" t="s">
        <v>52</v>
      </c>
      <c r="G35" s="1" t="s">
        <v>13</v>
      </c>
      <c r="H35" s="1" t="s">
        <v>53</v>
      </c>
      <c r="I35" s="1" t="s">
        <v>86</v>
      </c>
    </row>
    <row r="36" spans="1:9" ht="12.5" x14ac:dyDescent="0.25">
      <c r="A36" s="5" t="s">
        <v>86</v>
      </c>
      <c r="B36" s="1" t="s">
        <v>49</v>
      </c>
      <c r="C36" s="1" t="s">
        <v>30</v>
      </c>
      <c r="D36" s="1" t="s">
        <v>66</v>
      </c>
      <c r="E36" s="1">
        <v>-100</v>
      </c>
      <c r="F36" s="1" t="s">
        <v>52</v>
      </c>
      <c r="G36" s="1" t="s">
        <v>41</v>
      </c>
      <c r="H36" s="1" t="s">
        <v>53</v>
      </c>
      <c r="I36" s="1" t="s">
        <v>86</v>
      </c>
    </row>
    <row r="37" spans="1:9" ht="12.5" x14ac:dyDescent="0.25">
      <c r="A37" s="5">
        <v>40548</v>
      </c>
      <c r="B37" s="1" t="s">
        <v>15</v>
      </c>
      <c r="C37" s="1" t="s">
        <v>87</v>
      </c>
      <c r="D37" s="1" t="s">
        <v>17</v>
      </c>
      <c r="E37" s="1">
        <v>179</v>
      </c>
      <c r="F37" s="1" t="s">
        <v>12</v>
      </c>
      <c r="G37" s="1" t="s">
        <v>13</v>
      </c>
      <c r="H37" s="1" t="s">
        <v>18</v>
      </c>
      <c r="I37" s="1" t="s">
        <v>88</v>
      </c>
    </row>
    <row r="38" spans="1:9" ht="12.5" x14ac:dyDescent="0.25">
      <c r="A38" s="5">
        <v>40548</v>
      </c>
      <c r="B38" s="1" t="s">
        <v>89</v>
      </c>
      <c r="C38" s="1" t="s">
        <v>35</v>
      </c>
      <c r="D38" s="1" t="s">
        <v>90</v>
      </c>
      <c r="E38" s="1">
        <v>220</v>
      </c>
      <c r="F38" s="1" t="s">
        <v>12</v>
      </c>
      <c r="G38" s="1" t="s">
        <v>13</v>
      </c>
      <c r="H38" s="1" t="s">
        <v>91</v>
      </c>
      <c r="I38" s="1" t="s">
        <v>88</v>
      </c>
    </row>
    <row r="39" spans="1:9" ht="12.5" x14ac:dyDescent="0.25">
      <c r="A39" s="5">
        <v>40668</v>
      </c>
      <c r="B39" s="1" t="s">
        <v>24</v>
      </c>
      <c r="C39" s="1" t="s">
        <v>25</v>
      </c>
      <c r="D39" s="1" t="s">
        <v>26</v>
      </c>
      <c r="E39" s="1">
        <v>340</v>
      </c>
      <c r="F39" s="1" t="s">
        <v>12</v>
      </c>
      <c r="G39" s="1" t="s">
        <v>13</v>
      </c>
      <c r="H39" s="1" t="s">
        <v>27</v>
      </c>
      <c r="I39" s="3">
        <v>40668</v>
      </c>
    </row>
    <row r="40" spans="1:9" ht="12.5" x14ac:dyDescent="0.25">
      <c r="A40" s="5">
        <v>40729</v>
      </c>
      <c r="B40" s="1" t="s">
        <v>92</v>
      </c>
      <c r="C40" s="1" t="s">
        <v>93</v>
      </c>
      <c r="D40" s="1" t="s">
        <v>94</v>
      </c>
      <c r="E40" s="1">
        <v>563</v>
      </c>
      <c r="F40" s="1" t="s">
        <v>12</v>
      </c>
      <c r="G40" s="1" t="s">
        <v>13</v>
      </c>
      <c r="H40" s="1" t="s">
        <v>47</v>
      </c>
      <c r="I40" s="3">
        <v>40729</v>
      </c>
    </row>
    <row r="41" spans="1:9" ht="12.5" x14ac:dyDescent="0.25">
      <c r="A41" s="5">
        <v>40729</v>
      </c>
      <c r="B41" s="1" t="s">
        <v>95</v>
      </c>
      <c r="C41" s="1" t="s">
        <v>35</v>
      </c>
      <c r="D41" s="1" t="s">
        <v>96</v>
      </c>
      <c r="E41" s="1">
        <v>982</v>
      </c>
      <c r="F41" s="1" t="s">
        <v>12</v>
      </c>
      <c r="G41" s="1" t="s">
        <v>13</v>
      </c>
      <c r="H41" s="1" t="s">
        <v>97</v>
      </c>
      <c r="I41" s="3">
        <v>40700</v>
      </c>
    </row>
    <row r="42" spans="1:9" ht="12.5" x14ac:dyDescent="0.25">
      <c r="A42" s="5" t="s">
        <v>98</v>
      </c>
      <c r="B42" s="1" t="s">
        <v>29</v>
      </c>
      <c r="C42" s="1" t="s">
        <v>30</v>
      </c>
      <c r="D42" s="1" t="s">
        <v>31</v>
      </c>
      <c r="E42" s="1">
        <v>80</v>
      </c>
      <c r="F42" s="1" t="s">
        <v>12</v>
      </c>
      <c r="G42" s="1" t="s">
        <v>13</v>
      </c>
      <c r="H42" s="1" t="s">
        <v>32</v>
      </c>
      <c r="I42" s="1" t="s">
        <v>98</v>
      </c>
    </row>
    <row r="43" spans="1:9" ht="12.5" x14ac:dyDescent="0.25">
      <c r="A43" s="5" t="s">
        <v>98</v>
      </c>
      <c r="B43" s="1" t="s">
        <v>29</v>
      </c>
      <c r="C43" s="1" t="s">
        <v>30</v>
      </c>
      <c r="D43" s="1" t="s">
        <v>31</v>
      </c>
      <c r="E43" s="1">
        <v>35</v>
      </c>
      <c r="F43" s="1" t="s">
        <v>12</v>
      </c>
      <c r="G43" s="1" t="s">
        <v>33</v>
      </c>
      <c r="H43" s="1" t="s">
        <v>32</v>
      </c>
      <c r="I43" s="1" t="s">
        <v>98</v>
      </c>
    </row>
    <row r="44" spans="1:9" ht="12.5" x14ac:dyDescent="0.25">
      <c r="A44" s="5" t="s">
        <v>98</v>
      </c>
      <c r="B44" s="1" t="s">
        <v>34</v>
      </c>
      <c r="C44" s="1" t="s">
        <v>35</v>
      </c>
      <c r="D44" s="1" t="s">
        <v>36</v>
      </c>
      <c r="E44" s="2">
        <v>1000</v>
      </c>
      <c r="F44" s="1" t="s">
        <v>12</v>
      </c>
      <c r="G44" s="1" t="s">
        <v>13</v>
      </c>
      <c r="H44" s="1" t="s">
        <v>37</v>
      </c>
      <c r="I44" s="3">
        <v>40580</v>
      </c>
    </row>
    <row r="45" spans="1:9" ht="12.5" x14ac:dyDescent="0.25">
      <c r="A45" s="5" t="s">
        <v>99</v>
      </c>
      <c r="B45" s="1" t="s">
        <v>49</v>
      </c>
      <c r="C45" s="1" t="s">
        <v>50</v>
      </c>
      <c r="D45" s="1" t="s">
        <v>51</v>
      </c>
      <c r="E45" s="2">
        <v>-20000</v>
      </c>
      <c r="F45" s="1" t="s">
        <v>52</v>
      </c>
      <c r="G45" s="1" t="s">
        <v>33</v>
      </c>
      <c r="H45" s="1" t="s">
        <v>53</v>
      </c>
      <c r="I45" s="1" t="s">
        <v>99</v>
      </c>
    </row>
    <row r="46" spans="1:9" ht="12.5" x14ac:dyDescent="0.25">
      <c r="A46" s="5" t="s">
        <v>99</v>
      </c>
      <c r="B46" s="1" t="s">
        <v>49</v>
      </c>
      <c r="C46" s="1" t="s">
        <v>50</v>
      </c>
      <c r="D46" s="1" t="s">
        <v>51</v>
      </c>
      <c r="E46" s="2">
        <v>20000</v>
      </c>
      <c r="F46" s="1" t="s">
        <v>52</v>
      </c>
      <c r="G46" s="1" t="s">
        <v>13</v>
      </c>
      <c r="H46" s="1" t="s">
        <v>53</v>
      </c>
      <c r="I46" s="1" t="s">
        <v>99</v>
      </c>
    </row>
    <row r="47" spans="1:9" ht="12.5" x14ac:dyDescent="0.25">
      <c r="A47" s="5" t="s">
        <v>79</v>
      </c>
      <c r="B47" s="1" t="s">
        <v>49</v>
      </c>
      <c r="C47" s="1" t="s">
        <v>55</v>
      </c>
      <c r="D47" s="1" t="s">
        <v>56</v>
      </c>
      <c r="E47" s="2">
        <v>20000</v>
      </c>
      <c r="F47" s="1" t="s">
        <v>52</v>
      </c>
      <c r="G47" s="1" t="s">
        <v>33</v>
      </c>
      <c r="H47" s="1" t="s">
        <v>57</v>
      </c>
      <c r="I47" s="1" t="s">
        <v>79</v>
      </c>
    </row>
    <row r="48" spans="1:9" ht="12.5" x14ac:dyDescent="0.25">
      <c r="A48" s="5" t="s">
        <v>79</v>
      </c>
      <c r="B48" s="1" t="s">
        <v>58</v>
      </c>
      <c r="C48" s="1" t="s">
        <v>25</v>
      </c>
      <c r="D48" s="1" t="s">
        <v>59</v>
      </c>
      <c r="E48" s="1">
        <v>220</v>
      </c>
      <c r="F48" s="1" t="s">
        <v>52</v>
      </c>
      <c r="G48" s="1" t="s">
        <v>13</v>
      </c>
      <c r="H48" s="1" t="s">
        <v>60</v>
      </c>
      <c r="I48" s="1" t="s">
        <v>79</v>
      </c>
    </row>
    <row r="49" spans="1:9" ht="12.5" x14ac:dyDescent="0.25">
      <c r="A49" s="5" t="s">
        <v>79</v>
      </c>
      <c r="B49" s="1" t="s">
        <v>58</v>
      </c>
      <c r="C49" s="1" t="s">
        <v>25</v>
      </c>
      <c r="D49" s="1" t="s">
        <v>61</v>
      </c>
      <c r="E49" s="1">
        <v>100</v>
      </c>
      <c r="F49" s="1" t="s">
        <v>52</v>
      </c>
      <c r="G49" s="1" t="s">
        <v>13</v>
      </c>
      <c r="H49" s="1" t="s">
        <v>62</v>
      </c>
      <c r="I49" s="1" t="s">
        <v>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A3A165-35A1-4F73-8466-C5462D2A3D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Pivot_slicer</vt:lpstr>
      <vt:lpstr>Expenses (2)</vt:lpstr>
      <vt:lpstr>Raw_Data_Expenses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SURYAVANSHI</dc:creator>
  <cp:lastModifiedBy>Uma Suryavanshi</cp:lastModifiedBy>
  <dcterms:created xsi:type="dcterms:W3CDTF">2026-03-16T07:38:53Z</dcterms:created>
  <dcterms:modified xsi:type="dcterms:W3CDTF">2026-03-16T08:01:11Z</dcterms:modified>
</cp:coreProperties>
</file>